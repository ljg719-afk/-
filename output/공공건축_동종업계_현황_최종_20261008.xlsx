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인원명부" sheetId="2" state="visible" r:id="rId4"/>
    <sheet name="년생별" sheetId="3" state="visible" r:id="rId5"/>
    <sheet name="업체별" sheetId="4" state="visible" r:id="rId6"/>
    <sheet name="학교별" sheetId="5" state="visible" r:id="rId7"/>
    <sheet name="자료대조" sheetId="6" state="visible" r:id="rId8"/>
  </sheets>
  <definedNames>
    <definedName function="false" hidden="true" localSheetId="1" name="_xlnm._FilterDatabase" vbProcedure="false">인원명부!$A$4:$P$105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<sst xmlns="http://schemas.openxmlformats.org/spreadsheetml/2006/main" count="1418" uniqueCount="481">
  <si>
    <t xml:space="preserve">공공건축 동종업계 현황 종합</t>
  </si>
  <si>
    <r>
      <rPr>
        <sz val="9"/>
        <color rgb="FF595959"/>
        <rFont val="WenQuanYi Zen Hei"/>
        <family val="2"/>
      </rPr>
      <t xml:space="preserve">작성일 </t>
    </r>
    <r>
      <rPr>
        <sz val="9"/>
        <color rgb="FF595959"/>
        <rFont val="Arial"/>
        <family val="0"/>
        <charset val="1"/>
      </rPr>
      <t xml:space="preserve">2026-10-08 · </t>
    </r>
    <r>
      <rPr>
        <sz val="9"/>
        <color rgb="FF595959"/>
        <rFont val="WenQuanYi Zen Hei"/>
        <family val="2"/>
      </rPr>
      <t xml:space="preserve">원자료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건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엑셀 </t>
    </r>
    <r>
      <rPr>
        <sz val="9"/>
        <color rgb="FF595959"/>
        <rFont val="Arial"/>
        <family val="0"/>
        <charset val="1"/>
      </rPr>
      <t xml:space="preserve">1, PDF 3) </t>
    </r>
    <r>
      <rPr>
        <sz val="9"/>
        <color rgb="FF595959"/>
        <rFont val="WenQuanYi Zen Hei"/>
        <family val="2"/>
      </rPr>
      <t xml:space="preserve">통합 정리본 </t>
    </r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모든 수치는 인원명부 시트 수식 집계</t>
    </r>
  </si>
  <si>
    <r>
      <rPr>
        <sz val="10"/>
        <rFont val="WenQuanYi Zen Hei"/>
        <family val="2"/>
      </rPr>
      <t xml:space="preserve">기준연도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연나이 계산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</si>
  <si>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입력값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변경 시 전 시트 연나이 자동 재계산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</si>
  <si>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총 등재 인원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</si>
  <si>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현황 </t>
    </r>
    <r>
      <rPr>
        <sz val="10"/>
        <rFont val="Arial"/>
        <family val="0"/>
        <charset val="1"/>
      </rPr>
      <t xml:space="preserve">PDF 100</t>
    </r>
    <r>
      <rPr>
        <sz val="10"/>
        <rFont val="WenQuanYi Zen Hei"/>
        <family val="2"/>
      </rPr>
      <t xml:space="preserve">건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학교별 분석 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단독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이상범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</si>
  <si>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건설사 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개사</t>
    </r>
    <r>
      <rPr>
        <b val="true"/>
        <sz val="10"/>
        <rFont val="Arial"/>
        <family val="0"/>
        <charset val="1"/>
      </rPr>
      <t xml:space="preserve">)</t>
    </r>
  </si>
  <si>
    <t xml:space="preserve">업체명 표준화 기준</t>
  </si>
  <si>
    <r>
      <rPr>
        <b val="true"/>
        <sz val="10"/>
        <rFont val="WenQuanYi Zen Hei"/>
        <family val="2"/>
      </rPr>
      <t xml:space="preserve">출신학교 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</si>
  <si>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대표학교 기준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학교 미확인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명 제외</t>
    </r>
  </si>
  <si>
    <t xml:space="preserve">최고 년생</t>
  </si>
  <si>
    <t xml:space="preserve">최저 년생</t>
  </si>
  <si>
    <r>
      <rPr>
        <b val="true"/>
        <sz val="10"/>
        <rFont val="WenQuanYi Zen Hei"/>
        <family val="2"/>
      </rPr>
      <t xml:space="preserve">임원 인원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</si>
  <si>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부사장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전무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상무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실장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학교별 분석 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</si>
  <si>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부장 이하 인원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</si>
  <si>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차장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과장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수석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책임</t>
    </r>
  </si>
  <si>
    <r>
      <rPr>
        <b val="true"/>
        <sz val="10"/>
        <rFont val="WenQuanYi Zen Hei"/>
        <family val="2"/>
      </rPr>
      <t xml:space="preserve">직급 미기재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</si>
  <si>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한양 이유한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김현욱</t>
    </r>
  </si>
  <si>
    <r>
      <rPr>
        <b val="true"/>
        <sz val="10"/>
        <rFont val="WenQuanYi Zen Hei"/>
        <family val="2"/>
      </rPr>
      <t xml:space="preserve">팀장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파트장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</si>
  <si>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원자료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팀장</t>
    </r>
    <r>
      <rPr>
        <sz val="10"/>
        <rFont val="Arial"/>
        <family val="0"/>
        <charset val="1"/>
      </rPr>
      <t xml:space="preserve">)·(</t>
    </r>
    <r>
      <rPr>
        <sz val="10"/>
        <rFont val="WenQuanYi Zen Hei"/>
        <family val="2"/>
      </rPr>
      <t xml:space="preserve">파트장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표기 기준</t>
    </r>
  </si>
  <si>
    <t xml:space="preserve">최다 인원 학교</t>
  </si>
  <si>
    <r>
      <rPr>
        <b val="true"/>
        <sz val="10"/>
        <rFont val="WenQuanYi Zen Hei"/>
        <family val="2"/>
      </rPr>
      <t xml:space="preserve">최다 인원 학교 인원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)</t>
    </r>
  </si>
  <si>
    <t xml:space="preserve">최다 인원 업체</t>
  </si>
  <si>
    <r>
      <rPr>
        <b val="true"/>
        <sz val="10"/>
        <rFont val="WenQuanYi Zen Hei"/>
        <family val="2"/>
      </rPr>
      <t xml:space="preserve">최다 인원 업체 인원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)</t>
    </r>
  </si>
  <si>
    <t xml:space="preserve">확인 필요 건수</t>
  </si>
  <si>
    <r>
      <rPr>
        <sz val="10"/>
        <rFont val="WenQuanYi Zen Hei"/>
        <family val="2"/>
      </rPr>
      <t xml:space="preserve">상세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자료대조 시트</t>
    </r>
  </si>
  <si>
    <t xml:space="preserve">표기 안내</t>
  </si>
  <si>
    <r>
      <rPr>
        <sz val="10"/>
        <rFont val="WenQuanYi Zen Hei"/>
        <family val="2"/>
      </rPr>
      <t xml:space="preserve">임원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인원명부 업체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직급구분 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</si>
  <si>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팀장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파트장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인원명부 직책 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</si>
  <si>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자료 간 표기 상이 → 확인 필요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인원명부 비고 열</t>
    </r>
    <r>
      <rPr>
        <sz val="10"/>
        <rFont val="Arial"/>
        <family val="0"/>
        <charset val="1"/>
      </rPr>
      <t xml:space="preserve">)</t>
    </r>
  </si>
  <si>
    <t xml:space="preserve">시트 구성</t>
  </si>
  <si>
    <r>
      <rPr>
        <sz val="10"/>
        <rFont val="WenQuanYi Zen Hei"/>
        <family val="2"/>
      </rPr>
      <t xml:space="preserve">인원명부</t>
    </r>
    <r>
      <rPr>
        <sz val="10"/>
        <rFont val="Arial"/>
        <family val="0"/>
        <charset val="1"/>
      </rPr>
      <t xml:space="preserve">: 101</t>
    </r>
    <r>
      <rPr>
        <sz val="10"/>
        <rFont val="WenQuanYi Zen Hei"/>
        <family val="2"/>
      </rPr>
      <t xml:space="preserve">명 전체 명단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필터 가능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</si>
  <si>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년생별</t>
    </r>
    <r>
      <rPr>
        <sz val="10"/>
        <rFont val="Arial"/>
        <family val="0"/>
        <charset val="1"/>
      </rPr>
      <t xml:space="preserve">: 66~85</t>
    </r>
    <r>
      <rPr>
        <sz val="10"/>
        <rFont val="WenQuanYi Zen Hei"/>
        <family val="2"/>
      </rPr>
      <t xml:space="preserve">년생 인원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임원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명단</t>
    </r>
  </si>
  <si>
    <r>
      <rPr>
        <sz val="10"/>
        <rFont val="WenQuanYi Zen Hei"/>
        <family val="2"/>
      </rPr>
      <t xml:space="preserve">업체별</t>
    </r>
    <r>
      <rPr>
        <sz val="10"/>
        <rFont val="Arial"/>
        <family val="0"/>
        <charset val="1"/>
      </rPr>
      <t xml:space="preserve">: 31</t>
    </r>
    <r>
      <rPr>
        <sz val="10"/>
        <rFont val="WenQuanYi Zen Hei"/>
        <family val="2"/>
      </rPr>
      <t xml:space="preserve">개사 인원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임원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명단</t>
    </r>
  </si>
  <si>
    <r>
      <rPr>
        <sz val="10"/>
        <rFont val="WenQuanYi Zen Hei"/>
        <family val="2"/>
      </rPr>
      <t xml:space="preserve">학교별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대표학교 기준 인원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지역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명단</t>
    </r>
  </si>
  <si>
    <r>
      <rPr>
        <sz val="10"/>
        <rFont val="WenQuanYi Zen Hei"/>
        <family val="2"/>
      </rPr>
      <t xml:space="preserve">자료대조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원자료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건 비교 및 확인 필요 사항</t>
    </r>
  </si>
  <si>
    <r>
      <rPr>
        <b val="true"/>
        <sz val="14"/>
        <color rgb="FF1F3864"/>
        <rFont val="WenQuanYi Zen Hei"/>
        <family val="2"/>
      </rPr>
      <t xml:space="preserve">공공건축 동종업계 인원명부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최종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</si>
  <si>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작성일 </t>
    </r>
    <r>
      <rPr>
        <sz val="9"/>
        <color rgb="FF595959"/>
        <rFont val="Arial"/>
        <family val="0"/>
        <charset val="1"/>
      </rPr>
      <t xml:space="preserve">2026-10-08 · </t>
    </r>
    <r>
      <rPr>
        <sz val="9"/>
        <color rgb="FF595959"/>
        <rFont val="WenQuanYi Zen Hei"/>
        <family val="2"/>
      </rPr>
      <t xml:space="preserve">정렬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년생 → 임원 우선 </t>
    </r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연나이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기준연도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요약</t>
    </r>
    <r>
      <rPr>
        <sz val="9"/>
        <color rgb="FF595959"/>
        <rFont val="Arial"/>
        <family val="0"/>
        <charset val="1"/>
      </rPr>
      <t xml:space="preserve">!C5) − </t>
    </r>
    <r>
      <rPr>
        <sz val="9"/>
        <color rgb="FF595959"/>
        <rFont val="WenQuanYi Zen Hei"/>
        <family val="2"/>
      </rPr>
      <t xml:space="preserve">출생연도</t>
    </r>
  </si>
  <si>
    <t xml:space="preserve">순번</t>
  </si>
  <si>
    <t xml:space="preserve">년생</t>
  </si>
  <si>
    <t xml:space="preserve">빠른
년생</t>
  </si>
  <si>
    <t xml:space="preserve">연나이</t>
  </si>
  <si>
    <t xml:space="preserve">띠</t>
  </si>
  <si>
    <r>
      <rPr>
        <b val="true"/>
        <sz val="10"/>
        <color rgb="FFFFFFFF"/>
        <rFont val="WenQuanYi Zen Hei"/>
        <family val="2"/>
      </rPr>
      <t xml:space="preserve">업체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표준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</si>
  <si>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원자료
업체표기</t>
  </si>
  <si>
    <t xml:space="preserve">성명</t>
  </si>
  <si>
    <t xml:space="preserve">직급</t>
  </si>
  <si>
    <t xml:space="preserve">직급구분</t>
  </si>
  <si>
    <t xml:space="preserve">직책</t>
  </si>
  <si>
    <t xml:space="preserve">대표학교</t>
  </si>
  <si>
    <r>
      <rPr>
        <b val="true"/>
        <sz val="10"/>
        <color rgb="FFFFFFFF"/>
        <rFont val="WenQuanYi Zen Hei"/>
        <family val="2"/>
      </rPr>
      <t xml:space="preserve">출신학교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원자료 전체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</si>
  <si>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학교지역</t>
  </si>
  <si>
    <t xml:space="preserve">자료출처</t>
  </si>
  <si>
    <t xml:space="preserve">비고</t>
  </si>
  <si>
    <t xml:space="preserve">말띠</t>
  </si>
  <si>
    <t xml:space="preserve">남광</t>
  </si>
  <si>
    <t xml:space="preserve">허정호</t>
  </si>
  <si>
    <t xml:space="preserve">부사장</t>
  </si>
  <si>
    <t xml:space="preserve">임원</t>
  </si>
  <si>
    <t xml:space="preserve">수원대</t>
  </si>
  <si>
    <r>
      <rPr>
        <sz val="10"/>
        <rFont val="WenQuanYi Zen Hei"/>
        <family val="2"/>
      </rPr>
      <t xml:space="preserve">수원대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성균관대</t>
    </r>
  </si>
  <si>
    <r>
      <rPr>
        <sz val="10"/>
        <rFont val="WenQuanYi Zen Hei"/>
        <family val="2"/>
      </rPr>
      <t xml:space="preserve">엑셀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가로</t>
    </r>
    <r>
      <rPr>
        <sz val="10"/>
        <rFont val="Arial"/>
        <family val="0"/>
        <charset val="1"/>
      </rPr>
      <t xml:space="preserve">)·</t>
    </r>
    <r>
      <rPr>
        <sz val="10"/>
        <rFont val="WenQuanYi Zen Hei"/>
        <family val="2"/>
      </rPr>
      <t xml:space="preserve">현황</t>
    </r>
    <r>
      <rPr>
        <sz val="10"/>
        <rFont val="Arial"/>
        <family val="0"/>
        <charset val="1"/>
      </rPr>
      <t xml:space="preserve">PDF(100</t>
    </r>
    <r>
      <rPr>
        <sz val="10"/>
        <rFont val="WenQuanYi Zen Hei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</si>
  <si>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t xml:space="preserve">KR</t>
  </si>
  <si>
    <t xml:space="preserve">조판철</t>
  </si>
  <si>
    <t xml:space="preserve">상무</t>
  </si>
  <si>
    <t xml:space="preserve">한밭대</t>
  </si>
  <si>
    <r>
      <rPr>
        <sz val="10"/>
        <rFont val="WenQuanYi Zen Hei"/>
        <family val="2"/>
      </rPr>
      <t xml:space="preserve">대전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충청</t>
    </r>
  </si>
  <si>
    <t xml:space="preserve">대보</t>
  </si>
  <si>
    <t xml:space="preserve">정재수</t>
  </si>
  <si>
    <t xml:space="preserve">전무</t>
  </si>
  <si>
    <t xml:space="preserve">한양대</t>
  </si>
  <si>
    <t xml:space="preserve">서울</t>
  </si>
  <si>
    <t xml:space="preserve">태영</t>
  </si>
  <si>
    <t xml:space="preserve">정진형</t>
  </si>
  <si>
    <t xml:space="preserve">경희대</t>
  </si>
  <si>
    <t xml:space="preserve">포스코</t>
  </si>
  <si>
    <t xml:space="preserve">박종진</t>
  </si>
  <si>
    <t xml:space="preserve">고려대</t>
  </si>
  <si>
    <t xml:space="preserve">닭띠</t>
  </si>
  <si>
    <t xml:space="preserve">한양</t>
  </si>
  <si>
    <t xml:space="preserve">조훈</t>
  </si>
  <si>
    <t xml:space="preserve">중앙대</t>
  </si>
  <si>
    <r>
      <rPr>
        <sz val="10"/>
        <rFont val="WenQuanYi Zen Hei"/>
        <family val="2"/>
      </rPr>
      <t xml:space="preserve">학교별분석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미포함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집계 제외 인원</t>
    </r>
    <r>
      <rPr>
        <sz val="10"/>
        <rFont val="Arial"/>
        <family val="0"/>
        <charset val="1"/>
      </rPr>
      <t xml:space="preserve">).</t>
    </r>
  </si>
  <si>
    <t xml:space="preserve">빠른</t>
  </si>
  <si>
    <t xml:space="preserve">개띠</t>
  </si>
  <si>
    <t xml:space="preserve">대우</t>
  </si>
  <si>
    <t xml:space="preserve">김용</t>
  </si>
  <si>
    <t xml:space="preserve">동부</t>
  </si>
  <si>
    <t xml:space="preserve">김희석</t>
  </si>
  <si>
    <t xml:space="preserve">명지대</t>
  </si>
  <si>
    <t xml:space="preserve">금강</t>
  </si>
  <si>
    <t xml:space="preserve">위현복</t>
  </si>
  <si>
    <t xml:space="preserve">광운대</t>
  </si>
  <si>
    <t xml:space="preserve">한신</t>
  </si>
  <si>
    <t xml:space="preserve">조규용</t>
  </si>
  <si>
    <t xml:space="preserve">원광대</t>
  </si>
  <si>
    <t xml:space="preserve">우미</t>
  </si>
  <si>
    <t xml:space="preserve">김형일</t>
  </si>
  <si>
    <t xml:space="preserve">서희</t>
  </si>
  <si>
    <t xml:space="preserve">임흥식</t>
  </si>
  <si>
    <t xml:space="preserve">경일대</t>
  </si>
  <si>
    <r>
      <rPr>
        <sz val="10"/>
        <rFont val="WenQuanYi Zen Hei"/>
        <family val="2"/>
      </rPr>
      <t xml:space="preserve">대구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경북</t>
    </r>
  </si>
  <si>
    <t xml:space="preserve">금호</t>
  </si>
  <si>
    <t xml:space="preserve">신재혁</t>
  </si>
  <si>
    <t xml:space="preserve">아주대</t>
  </si>
  <si>
    <r>
      <rPr>
        <sz val="10"/>
        <rFont val="WenQuanYi Zen Hei"/>
        <family val="2"/>
      </rPr>
      <t xml:space="preserve">경기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인천</t>
    </r>
  </si>
  <si>
    <t xml:space="preserve">돼지띠</t>
  </si>
  <si>
    <t xml:space="preserve">계룡</t>
  </si>
  <si>
    <t xml:space="preserve">전병규</t>
  </si>
  <si>
    <r>
      <rPr>
        <sz val="10"/>
        <rFont val="Arial"/>
        <family val="0"/>
        <charset val="1"/>
      </rPr>
      <t xml:space="preserve">HJ</t>
    </r>
    <r>
      <rPr>
        <sz val="10"/>
        <rFont val="WenQuanYi Zen Hei"/>
        <family val="2"/>
      </rPr>
      <t xml:space="preserve">중공업</t>
    </r>
  </si>
  <si>
    <t xml:space="preserve">정회경</t>
  </si>
  <si>
    <t xml:space="preserve">쥐띠</t>
  </si>
  <si>
    <t xml:space="preserve">강희관</t>
  </si>
  <si>
    <t xml:space="preserve">충남대</t>
  </si>
  <si>
    <t xml:space="preserve">진흥</t>
  </si>
  <si>
    <t xml:space="preserve">김준기</t>
  </si>
  <si>
    <t xml:space="preserve">인하대</t>
  </si>
  <si>
    <t xml:space="preserve">우기수</t>
  </si>
  <si>
    <t xml:space="preserve">경상대</t>
  </si>
  <si>
    <t xml:space="preserve">소띠</t>
  </si>
  <si>
    <t xml:space="preserve">극동</t>
  </si>
  <si>
    <t xml:space="preserve">박한섭</t>
  </si>
  <si>
    <t xml:space="preserve">건국대</t>
  </si>
  <si>
    <t xml:space="preserve">남도현</t>
  </si>
  <si>
    <t xml:space="preserve">서울과기대</t>
  </si>
  <si>
    <t xml:space="preserve">김건용</t>
  </si>
  <si>
    <t xml:space="preserve">서울시립대</t>
  </si>
  <si>
    <t xml:space="preserve">손익창</t>
  </si>
  <si>
    <t xml:space="preserve">홍익대</t>
  </si>
  <si>
    <t xml:space="preserve">서한</t>
  </si>
  <si>
    <t xml:space="preserve">김성우</t>
  </si>
  <si>
    <t xml:space="preserve">이사</t>
  </si>
  <si>
    <t xml:space="preserve">코오롱</t>
  </si>
  <si>
    <t xml:space="preserve">신윤선</t>
  </si>
  <si>
    <t xml:space="preserve">김종표</t>
  </si>
  <si>
    <t xml:space="preserve">팀장</t>
  </si>
  <si>
    <t xml:space="preserve">정필교</t>
  </si>
  <si>
    <t xml:space="preserve">서울대</t>
  </si>
  <si>
    <t xml:space="preserve">신동아</t>
  </si>
  <si>
    <t xml:space="preserve">최경식</t>
  </si>
  <si>
    <t xml:space="preserve">영남대</t>
  </si>
  <si>
    <t xml:space="preserve">한화</t>
  </si>
  <si>
    <t xml:space="preserve">박영철</t>
  </si>
  <si>
    <t xml:space="preserve">부장</t>
  </si>
  <si>
    <t xml:space="preserve">부장 이하</t>
  </si>
  <si>
    <t xml:space="preserve">조선대</t>
  </si>
  <si>
    <r>
      <rPr>
        <sz val="10"/>
        <rFont val="WenQuanYi Zen Hei"/>
        <family val="2"/>
      </rPr>
      <t xml:space="preserve">조선대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전남대</t>
    </r>
  </si>
  <si>
    <r>
      <rPr>
        <sz val="10"/>
        <rFont val="WenQuanYi Zen Hei"/>
        <family val="2"/>
      </rPr>
      <t xml:space="preserve">호남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강원</t>
    </r>
  </si>
  <si>
    <t xml:space="preserve">김용진</t>
  </si>
  <si>
    <t xml:space="preserve">숭실대</t>
  </si>
  <si>
    <t xml:space="preserve">GS</t>
  </si>
  <si>
    <t xml:space="preserve">성중규</t>
  </si>
  <si>
    <t xml:space="preserve">양진영</t>
  </si>
  <si>
    <t xml:space="preserve">국방부</t>
  </si>
  <si>
    <r>
      <rPr>
        <sz val="10"/>
        <rFont val="WenQuanYi Zen Hei"/>
        <family val="2"/>
      </rPr>
      <t xml:space="preserve">원자료 학교란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국방부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표기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출신학교 미확인</t>
    </r>
    <r>
      <rPr>
        <sz val="10"/>
        <rFont val="Arial"/>
        <family val="0"/>
        <charset val="1"/>
      </rPr>
      <t xml:space="preserve">.</t>
    </r>
  </si>
  <si>
    <t xml:space="preserve">호랑이띠</t>
  </si>
  <si>
    <r>
      <rPr>
        <sz val="10"/>
        <rFont val="Arial"/>
        <family val="0"/>
        <charset val="1"/>
      </rPr>
      <t xml:space="preserve">DL</t>
    </r>
    <r>
      <rPr>
        <sz val="10"/>
        <rFont val="WenQuanYi Zen Hei"/>
        <family val="2"/>
      </rPr>
      <t xml:space="preserve">이앤씨</t>
    </r>
  </si>
  <si>
    <t xml:space="preserve">박창용</t>
  </si>
  <si>
    <t xml:space="preserve">실장</t>
  </si>
  <si>
    <t xml:space="preserve">박재범</t>
  </si>
  <si>
    <t xml:space="preserve">김성용</t>
  </si>
  <si>
    <r>
      <rPr>
        <sz val="10"/>
        <rFont val="WenQuanYi Zen Hei"/>
        <family val="2"/>
      </rPr>
      <t xml:space="preserve">인하대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아주대</t>
    </r>
  </si>
  <si>
    <t xml:space="preserve">김준의</t>
  </si>
  <si>
    <t xml:space="preserve">경성대</t>
  </si>
  <si>
    <r>
      <rPr>
        <sz val="10"/>
        <rFont val="WenQuanYi Zen Hei"/>
        <family val="2"/>
      </rPr>
      <t xml:space="preserve">경성대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부산대</t>
    </r>
  </si>
  <si>
    <t xml:space="preserve">토끼띠</t>
  </si>
  <si>
    <t xml:space="preserve">김철호</t>
  </si>
  <si>
    <t xml:space="preserve">이수</t>
  </si>
  <si>
    <t xml:space="preserve">최병훈</t>
  </si>
  <si>
    <t xml:space="preserve">세종대</t>
  </si>
  <si>
    <r>
      <rPr>
        <sz val="10"/>
        <rFont val="WenQuanYi Zen Hei"/>
        <family val="2"/>
      </rPr>
      <t xml:space="preserve">세종대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건국대</t>
    </r>
  </si>
  <si>
    <t xml:space="preserve">송원영</t>
  </si>
  <si>
    <t xml:space="preserve">이준성</t>
  </si>
  <si>
    <t xml:space="preserve">안양대</t>
  </si>
  <si>
    <t xml:space="preserve">용띠</t>
  </si>
  <si>
    <t xml:space="preserve">박은철</t>
  </si>
  <si>
    <t xml:space="preserve">단국대</t>
  </si>
  <si>
    <t xml:space="preserve">김찬식</t>
  </si>
  <si>
    <t xml:space="preserve">동국대</t>
  </si>
  <si>
    <t xml:space="preserve">하승훈</t>
  </si>
  <si>
    <t xml:space="preserve">박민혁</t>
  </si>
  <si>
    <t xml:space="preserve">책임</t>
  </si>
  <si>
    <t xml:space="preserve">손규홍</t>
  </si>
  <si>
    <t xml:space="preserve">이진만</t>
  </si>
  <si>
    <t xml:space="preserve">파트장</t>
  </si>
  <si>
    <t xml:space="preserve">김홍석</t>
  </si>
  <si>
    <t xml:space="preserve">부경대</t>
  </si>
  <si>
    <t xml:space="preserve">길동영</t>
  </si>
  <si>
    <t xml:space="preserve">이유한</t>
  </si>
  <si>
    <t xml:space="preserve">미기재</t>
  </si>
  <si>
    <r>
      <rPr>
        <sz val="10"/>
        <rFont val="WenQuanYi Zen Hei"/>
        <family val="2"/>
      </rPr>
      <t xml:space="preserve">학교별분석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미포함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집계 제외 인원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직급 미기재</t>
    </r>
    <r>
      <rPr>
        <sz val="10"/>
        <rFont val="Arial"/>
        <family val="0"/>
        <charset val="1"/>
      </rPr>
      <t xml:space="preserve">.</t>
    </r>
  </si>
  <si>
    <t xml:space="preserve">김동현</t>
  </si>
  <si>
    <t xml:space="preserve">동아대</t>
  </si>
  <si>
    <t xml:space="preserve">박주현</t>
  </si>
  <si>
    <t xml:space="preserve">성균관대</t>
  </si>
  <si>
    <t xml:space="preserve">김동식</t>
  </si>
  <si>
    <t xml:space="preserve">경북대</t>
  </si>
  <si>
    <t xml:space="preserve">뱀띠</t>
  </si>
  <si>
    <t xml:space="preserve">송영찬</t>
  </si>
  <si>
    <t xml:space="preserve">조성필</t>
  </si>
  <si>
    <t xml:space="preserve">차장</t>
  </si>
  <si>
    <t xml:space="preserve">유태현</t>
  </si>
  <si>
    <t xml:space="preserve">한라대</t>
  </si>
  <si>
    <r>
      <rPr>
        <sz val="10"/>
        <rFont val="WenQuanYi Zen Hei"/>
        <family val="2"/>
      </rPr>
      <t xml:space="preserve">엑셀 원자료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빠른</t>
    </r>
    <r>
      <rPr>
        <sz val="10"/>
        <rFont val="Arial"/>
        <family val="0"/>
        <charset val="1"/>
      </rPr>
      <t xml:space="preserve">76" </t>
    </r>
    <r>
      <rPr>
        <sz val="10"/>
        <rFont val="WenQuanYi Zen Hei"/>
        <family val="2"/>
      </rPr>
      <t xml:space="preserve">표기</t>
    </r>
    <r>
      <rPr>
        <sz val="10"/>
        <rFont val="Arial"/>
        <family val="0"/>
        <charset val="1"/>
      </rPr>
      <t xml:space="preserve">. 77</t>
    </r>
    <r>
      <rPr>
        <sz val="10"/>
        <rFont val="WenQuanYi Zen Hei"/>
        <family val="2"/>
      </rPr>
      <t xml:space="preserve">년생 행에 기재되어 </t>
    </r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년생으로 분류</t>
    </r>
    <r>
      <rPr>
        <sz val="10"/>
        <rFont val="Arial"/>
        <family val="0"/>
        <charset val="1"/>
      </rPr>
      <t xml:space="preserve">.</t>
    </r>
  </si>
  <si>
    <t xml:space="preserve">라영철</t>
  </si>
  <si>
    <t xml:space="preserve">대구대</t>
  </si>
  <si>
    <t xml:space="preserve">김성호</t>
  </si>
  <si>
    <t xml:space="preserve">이동하</t>
  </si>
  <si>
    <t xml:space="preserve">박석현</t>
  </si>
  <si>
    <t xml:space="preserve">김현욱</t>
  </si>
  <si>
    <t xml:space="preserve">계원예술대</t>
  </si>
  <si>
    <r>
      <rPr>
        <sz val="10"/>
        <rFont val="WenQuanYi Zen Hei"/>
        <family val="2"/>
      </rPr>
      <t xml:space="preserve">계원예술대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경기대</t>
    </r>
  </si>
  <si>
    <t xml:space="preserve">양띠</t>
  </si>
  <si>
    <t xml:space="preserve">강훈모</t>
  </si>
  <si>
    <t xml:space="preserve">수석매니저</t>
  </si>
  <si>
    <t xml:space="preserve">차유진</t>
  </si>
  <si>
    <t xml:space="preserve">동양대</t>
  </si>
  <si>
    <r>
      <rPr>
        <sz val="10"/>
        <rFont val="WenQuanYi Zen Hei"/>
        <family val="2"/>
      </rPr>
      <t xml:space="preserve">동양대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중앙대</t>
    </r>
  </si>
  <si>
    <t xml:space="preserve">대경</t>
  </si>
  <si>
    <t xml:space="preserve">박용덕</t>
  </si>
  <si>
    <t xml:space="preserve">유원대</t>
  </si>
  <si>
    <r>
      <rPr>
        <sz val="10"/>
        <rFont val="WenQuanYi Zen Hei"/>
        <family val="2"/>
      </rPr>
      <t xml:space="preserve">유원대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한양대</t>
    </r>
  </si>
  <si>
    <t xml:space="preserve">안홍주</t>
  </si>
  <si>
    <t xml:space="preserve">전남대</t>
  </si>
  <si>
    <t xml:space="preserve">김흥락</t>
  </si>
  <si>
    <t xml:space="preserve">연세대</t>
  </si>
  <si>
    <t xml:space="preserve">사용기</t>
  </si>
  <si>
    <t xml:space="preserve">충북대</t>
  </si>
  <si>
    <r>
      <rPr>
        <sz val="10"/>
        <rFont val="WenQuanYi Zen Hei"/>
        <family val="2"/>
      </rPr>
      <t xml:space="preserve">학교 표기 상이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엑셀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현황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충북대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학교별분석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청주대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확인 필요</t>
    </r>
    <r>
      <rPr>
        <sz val="10"/>
        <rFont val="Arial"/>
        <family val="0"/>
        <charset val="1"/>
      </rPr>
      <t xml:space="preserve">.</t>
    </r>
  </si>
  <si>
    <t xml:space="preserve">원숭이띠</t>
  </si>
  <si>
    <t xml:space="preserve">허림</t>
  </si>
  <si>
    <t xml:space="preserve">오병한</t>
  </si>
  <si>
    <t xml:space="preserve">배성민</t>
  </si>
  <si>
    <t xml:space="preserve">차대희</t>
  </si>
  <si>
    <t xml:space="preserve">정태왕</t>
  </si>
  <si>
    <t xml:space="preserve">안이태</t>
  </si>
  <si>
    <t xml:space="preserve">중부대</t>
  </si>
  <si>
    <t xml:space="preserve">김수희</t>
  </si>
  <si>
    <t xml:space="preserve">이경은</t>
  </si>
  <si>
    <t xml:space="preserve">HJ</t>
  </si>
  <si>
    <t xml:space="preserve">이범석</t>
  </si>
  <si>
    <t xml:space="preserve">쌍용</t>
  </si>
  <si>
    <t xml:space="preserve">전현도</t>
  </si>
  <si>
    <r>
      <rPr>
        <sz val="10"/>
        <rFont val="WenQuanYi Zen Hei"/>
        <family val="2"/>
      </rPr>
      <t xml:space="preserve">울산대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중앙대</t>
    </r>
  </si>
  <si>
    <r>
      <rPr>
        <sz val="10"/>
        <rFont val="WenQuanYi Zen Hei"/>
        <family val="2"/>
      </rPr>
      <t xml:space="preserve">대표학교는 학교별분석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분류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중앙대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적용</t>
    </r>
    <r>
      <rPr>
        <sz val="10"/>
        <rFont val="Arial"/>
        <family val="0"/>
        <charset val="1"/>
      </rPr>
      <t xml:space="preserve">.</t>
    </r>
  </si>
  <si>
    <t xml:space="preserve">금백</t>
  </si>
  <si>
    <t xml:space="preserve">이규호</t>
  </si>
  <si>
    <t xml:space="preserve">박정석</t>
  </si>
  <si>
    <t xml:space="preserve">선문대</t>
  </si>
  <si>
    <t xml:space="preserve">임재경</t>
  </si>
  <si>
    <t xml:space="preserve">동의대</t>
  </si>
  <si>
    <t xml:space="preserve">이석현</t>
  </si>
  <si>
    <r>
      <rPr>
        <sz val="10"/>
        <rFont val="Arial"/>
        <family val="0"/>
        <charset val="1"/>
      </rPr>
      <t xml:space="preserve">DL</t>
    </r>
    <r>
      <rPr>
        <sz val="10"/>
        <rFont val="WenQuanYi Zen Hei"/>
        <family val="2"/>
      </rPr>
      <t xml:space="preserve">건설</t>
    </r>
  </si>
  <si>
    <t xml:space="preserve">하동우</t>
  </si>
  <si>
    <t xml:space="preserve">백건구</t>
  </si>
  <si>
    <t xml:space="preserve">서해두</t>
  </si>
  <si>
    <t xml:space="preserve">차길환</t>
  </si>
  <si>
    <t xml:space="preserve">목원대</t>
  </si>
  <si>
    <t xml:space="preserve">권세호</t>
  </si>
  <si>
    <t xml:space="preserve">송원한</t>
  </si>
  <si>
    <t xml:space="preserve">계명대</t>
  </si>
  <si>
    <t xml:space="preserve">안현민</t>
  </si>
  <si>
    <t xml:space="preserve">김태우</t>
  </si>
  <si>
    <r>
      <rPr>
        <sz val="10"/>
        <rFont val="WenQuanYi Zen Hei"/>
        <family val="2"/>
      </rPr>
      <t xml:space="preserve">년생 표기 상이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엑셀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현황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빠른</t>
    </r>
    <r>
      <rPr>
        <sz val="10"/>
        <rFont val="Arial"/>
        <family val="0"/>
        <charset val="1"/>
      </rPr>
      <t xml:space="preserve">82 / </t>
    </r>
    <r>
      <rPr>
        <sz val="10"/>
        <rFont val="WenQuanYi Zen Hei"/>
        <family val="2"/>
      </rPr>
      <t xml:space="preserve">학교별분석</t>
    </r>
    <r>
      <rPr>
        <sz val="10"/>
        <rFont val="Arial"/>
        <family val="0"/>
        <charset val="1"/>
      </rPr>
      <t xml:space="preserve">PDF 81. </t>
    </r>
    <r>
      <rPr>
        <sz val="10"/>
        <rFont val="WenQuanYi Zen Hei"/>
        <family val="2"/>
      </rPr>
      <t xml:space="preserve">확인 필요</t>
    </r>
    <r>
      <rPr>
        <sz val="10"/>
        <rFont val="Arial"/>
        <family val="0"/>
        <charset val="1"/>
      </rPr>
      <t xml:space="preserve">.</t>
    </r>
  </si>
  <si>
    <t xml:space="preserve">신재영</t>
  </si>
  <si>
    <t xml:space="preserve">권희선</t>
  </si>
  <si>
    <t xml:space="preserve">제일</t>
  </si>
  <si>
    <t xml:space="preserve">제일건설</t>
  </si>
  <si>
    <t xml:space="preserve">김재승</t>
  </si>
  <si>
    <t xml:space="preserve">경기대</t>
  </si>
  <si>
    <r>
      <rPr>
        <sz val="10"/>
        <rFont val="WenQuanYi Zen Hei"/>
        <family val="2"/>
      </rPr>
      <t xml:space="preserve">현대</t>
    </r>
    <r>
      <rPr>
        <sz val="10"/>
        <rFont val="Arial"/>
        <family val="0"/>
        <charset val="1"/>
      </rPr>
      <t xml:space="preserve">ENG</t>
    </r>
  </si>
  <si>
    <t xml:space="preserve">이진혁</t>
  </si>
  <si>
    <r>
      <rPr>
        <sz val="10"/>
        <rFont val="WenQuanYi Zen Hei"/>
        <family val="2"/>
      </rPr>
      <t xml:space="preserve">직급 표기 상이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엑셀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현황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차장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학교별분석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책임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확인 필요</t>
    </r>
    <r>
      <rPr>
        <sz val="10"/>
        <rFont val="Arial"/>
        <family val="0"/>
        <charset val="1"/>
      </rPr>
      <t xml:space="preserve">.</t>
    </r>
  </si>
  <si>
    <t xml:space="preserve">동부건설</t>
  </si>
  <si>
    <t xml:space="preserve">김대건</t>
  </si>
  <si>
    <t xml:space="preserve">정훈기</t>
  </si>
  <si>
    <t xml:space="preserve">이수건설</t>
  </si>
  <si>
    <t xml:space="preserve">김종욱</t>
  </si>
  <si>
    <t xml:space="preserve">한화건설</t>
  </si>
  <si>
    <t xml:space="preserve">차원재</t>
  </si>
  <si>
    <t xml:space="preserve">한신공영</t>
  </si>
  <si>
    <t xml:space="preserve">이상혁</t>
  </si>
  <si>
    <r>
      <rPr>
        <sz val="10"/>
        <rFont val="Arial"/>
        <family val="0"/>
        <charset val="1"/>
      </rPr>
      <t xml:space="preserve">GS</t>
    </r>
    <r>
      <rPr>
        <sz val="10"/>
        <rFont val="WenQuanYi Zen Hei"/>
        <family val="2"/>
      </rPr>
      <t xml:space="preserve">건설</t>
    </r>
  </si>
  <si>
    <t xml:space="preserve">정가람</t>
  </si>
  <si>
    <t xml:space="preserve">대보건설</t>
  </si>
  <si>
    <t xml:space="preserve">정영호</t>
  </si>
  <si>
    <r>
      <rPr>
        <sz val="10"/>
        <rFont val="WenQuanYi Zen Hei"/>
        <family val="2"/>
      </rPr>
      <t xml:space="preserve">영남대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한양대</t>
    </r>
  </si>
  <si>
    <t xml:space="preserve">하현성</t>
  </si>
  <si>
    <t xml:space="preserve">현대</t>
  </si>
  <si>
    <t xml:space="preserve">현대건설</t>
  </si>
  <si>
    <t xml:space="preserve">이호창</t>
  </si>
  <si>
    <t xml:space="preserve">책임매니저</t>
  </si>
  <si>
    <t xml:space="preserve">이상범</t>
  </si>
  <si>
    <t xml:space="preserve">과장</t>
  </si>
  <si>
    <r>
      <rPr>
        <sz val="10"/>
        <rFont val="WenQuanYi Zen Hei"/>
        <family val="2"/>
      </rPr>
      <t xml:space="preserve">학교별분석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단독</t>
    </r>
  </si>
  <si>
    <r>
      <rPr>
        <sz val="10"/>
        <rFont val="WenQuanYi Zen Hei"/>
        <family val="2"/>
      </rPr>
      <t xml:space="preserve">학교별 분석 자료에만 등재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엑셀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현황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미등재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확인 필요</t>
    </r>
    <r>
      <rPr>
        <sz val="10"/>
        <rFont val="Arial"/>
        <family val="0"/>
        <charset val="1"/>
      </rPr>
      <t xml:space="preserve">.</t>
    </r>
  </si>
  <si>
    <t xml:space="preserve">년생별 현황</t>
  </si>
  <si>
    <r>
      <rPr>
        <sz val="9"/>
        <color rgb="FF595959"/>
        <rFont val="WenQuanYi Zen Hei"/>
        <family val="2"/>
      </rPr>
      <t xml:space="preserve">출처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인원명부 시트 집계</t>
    </r>
    <r>
      <rPr>
        <sz val="9"/>
        <color rgb="FF595959"/>
        <rFont val="Arial"/>
        <family val="0"/>
        <charset val="1"/>
      </rPr>
      <t xml:space="preserve">(COUNTIF </t>
    </r>
    <r>
      <rPr>
        <sz val="9"/>
        <color rgb="FF595959"/>
        <rFont val="WenQuanYi Zen Hei"/>
        <family val="2"/>
      </rPr>
      <t xml:space="preserve">수식</t>
    </r>
    <r>
      <rPr>
        <sz val="9"/>
        <color rgb="FF595959"/>
        <rFont val="Arial"/>
        <family val="0"/>
        <charset val="1"/>
      </rPr>
      <t xml:space="preserve">) · </t>
    </r>
    <r>
      <rPr>
        <sz val="9"/>
        <color rgb="FF595959"/>
        <rFont val="WenQuanYi Zen Hei"/>
        <family val="2"/>
      </rPr>
      <t xml:space="preserve">띠는 원자료 표기</t>
    </r>
  </si>
  <si>
    <t xml:space="preserve">인원</t>
  </si>
  <si>
    <r>
      <rPr>
        <b val="true"/>
        <sz val="10"/>
        <color rgb="FFFFFFFF"/>
        <rFont val="WenQuanYi Zen Hei"/>
        <family val="2"/>
      </rPr>
      <t xml:space="preserve">팀장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파트장</t>
    </r>
  </si>
  <si>
    <r>
      <rPr>
        <b val="true"/>
        <sz val="10"/>
        <color rgb="FFFFFFFF"/>
        <rFont val="WenQuanYi Zen Hei"/>
        <family val="2"/>
      </rPr>
      <t xml:space="preserve">명단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업체 성명 직급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</si>
  <si>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남광 허정호 부사장</t>
    </r>
    <r>
      <rPr>
        <sz val="10"/>
        <rFont val="Arial"/>
        <family val="0"/>
        <charset val="1"/>
      </rPr>
      <t xml:space="preserve">, KR </t>
    </r>
    <r>
      <rPr>
        <sz val="10"/>
        <rFont val="WenQuanYi Zen Hei"/>
        <family val="2"/>
      </rPr>
      <t xml:space="preserve">조판철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대보 정재수 전무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태영 정진형 전무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포스코 박종진 전무</t>
    </r>
  </si>
  <si>
    <t xml:space="preserve">-</t>
  </si>
  <si>
    <t xml:space="preserve">한양 조훈 상무</t>
  </si>
  <si>
    <r>
      <rPr>
        <sz val="10"/>
        <rFont val="WenQuanYi Zen Hei"/>
        <family val="2"/>
      </rPr>
      <t xml:space="preserve">대우 김용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동부 김희석 전무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금강 위현복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한신 조규용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우미 김형일 전무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서희 임흥식 전무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금호 신재혁 전무</t>
    </r>
  </si>
  <si>
    <r>
      <rPr>
        <sz val="10"/>
        <rFont val="WenQuanYi Zen Hei"/>
        <family val="2"/>
      </rPr>
      <t xml:space="preserve">계룡 전병규 상무</t>
    </r>
    <r>
      <rPr>
        <sz val="10"/>
        <rFont val="Arial"/>
        <family val="0"/>
        <charset val="1"/>
      </rPr>
      <t xml:space="preserve">, HJ</t>
    </r>
    <r>
      <rPr>
        <sz val="10"/>
        <rFont val="WenQuanYi Zen Hei"/>
        <family val="2"/>
      </rPr>
      <t xml:space="preserve">중공업 정회경 상무</t>
    </r>
  </si>
  <si>
    <r>
      <rPr>
        <sz val="10"/>
        <rFont val="WenQuanYi Zen Hei"/>
        <family val="2"/>
      </rPr>
      <t xml:space="preserve">계룡 강희관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진흥 김준기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태영 우기수 상무</t>
    </r>
  </si>
  <si>
    <r>
      <rPr>
        <sz val="10"/>
        <rFont val="WenQuanYi Zen Hei"/>
        <family val="2"/>
      </rPr>
      <t xml:space="preserve">극동 박한섭 전무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남광 남도현 상무</t>
    </r>
    <r>
      <rPr>
        <sz val="10"/>
        <rFont val="Arial"/>
        <family val="0"/>
        <charset val="1"/>
      </rPr>
      <t xml:space="preserve">, HJ</t>
    </r>
    <r>
      <rPr>
        <sz val="10"/>
        <rFont val="WenQuanYi Zen Hei"/>
        <family val="2"/>
      </rPr>
      <t xml:space="preserve">중공업 김건용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대보 손익창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서한 김성우 이사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코오롱 신윤선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동부 김종표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동부 정필교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신동아 최경식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한화 박영철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한신 김용진 부장</t>
    </r>
    <r>
      <rPr>
        <sz val="10"/>
        <rFont val="Arial"/>
        <family val="0"/>
        <charset val="1"/>
      </rPr>
      <t xml:space="preserve">, GS </t>
    </r>
    <r>
      <rPr>
        <sz val="10"/>
        <rFont val="WenQuanYi Zen Hei"/>
        <family val="2"/>
      </rPr>
      <t xml:space="preserve">성중규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대보 양진영 부장</t>
    </r>
  </si>
  <si>
    <r>
      <rPr>
        <sz val="10"/>
        <rFont val="Arial"/>
        <family val="0"/>
        <charset val="1"/>
      </rPr>
      <t xml:space="preserve">DL</t>
    </r>
    <r>
      <rPr>
        <sz val="10"/>
        <rFont val="WenQuanYi Zen Hei"/>
        <family val="2"/>
      </rPr>
      <t xml:space="preserve">이앤씨 박창용 실장</t>
    </r>
    <r>
      <rPr>
        <sz val="10"/>
        <rFont val="Arial"/>
        <family val="0"/>
        <charset val="1"/>
      </rPr>
      <t xml:space="preserve">, GS </t>
    </r>
    <r>
      <rPr>
        <sz val="10"/>
        <rFont val="WenQuanYi Zen Hei"/>
        <family val="2"/>
      </rPr>
      <t xml:space="preserve">박재범 부장</t>
    </r>
    <r>
      <rPr>
        <sz val="10"/>
        <rFont val="Arial"/>
        <family val="0"/>
        <charset val="1"/>
      </rPr>
      <t xml:space="preserve">, HJ</t>
    </r>
    <r>
      <rPr>
        <sz val="10"/>
        <rFont val="WenQuanYi Zen Hei"/>
        <family val="2"/>
      </rPr>
      <t xml:space="preserve">중공업 김성용 부장</t>
    </r>
    <r>
      <rPr>
        <sz val="10"/>
        <rFont val="Arial"/>
        <family val="0"/>
        <charset val="1"/>
      </rPr>
      <t xml:space="preserve">, HJ</t>
    </r>
    <r>
      <rPr>
        <sz val="10"/>
        <rFont val="WenQuanYi Zen Hei"/>
        <family val="2"/>
      </rPr>
      <t xml:space="preserve">중공업 김준의 부장</t>
    </r>
  </si>
  <si>
    <r>
      <rPr>
        <sz val="10"/>
        <rFont val="WenQuanYi Zen Hei"/>
        <family val="2"/>
      </rPr>
      <t xml:space="preserve">우미 김철호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이수 최병훈 이사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한화 송원영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금강 이준성 부장</t>
    </r>
  </si>
  <si>
    <r>
      <rPr>
        <sz val="10"/>
        <rFont val="Arial"/>
        <family val="0"/>
        <charset val="1"/>
      </rPr>
      <t xml:space="preserve">DL</t>
    </r>
    <r>
      <rPr>
        <sz val="10"/>
        <rFont val="WenQuanYi Zen Hei"/>
        <family val="2"/>
      </rPr>
      <t xml:space="preserve">이앤씨 박은철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금호 김찬식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대보 하승훈 상무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대우 박민혁 책임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동부 손규홍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극동 이진만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대보 김홍석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서한 길동영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한양 이유한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진흥 김동현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남광 박주현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계룡 김동식 부장</t>
    </r>
  </si>
  <si>
    <r>
      <rPr>
        <sz val="10"/>
        <rFont val="Arial"/>
        <family val="0"/>
        <charset val="1"/>
      </rPr>
      <t xml:space="preserve">DL</t>
    </r>
    <r>
      <rPr>
        <sz val="10"/>
        <rFont val="WenQuanYi Zen Hei"/>
        <family val="2"/>
      </rPr>
      <t xml:space="preserve">이앤씨 송영찬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진흥 조성필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금강 유태현 부장</t>
    </r>
  </si>
  <si>
    <r>
      <rPr>
        <sz val="10"/>
        <rFont val="Arial"/>
        <family val="0"/>
        <charset val="1"/>
      </rPr>
      <t xml:space="preserve">HJ</t>
    </r>
    <r>
      <rPr>
        <sz val="10"/>
        <rFont val="WenQuanYi Zen Hei"/>
        <family val="2"/>
      </rPr>
      <t xml:space="preserve">중공업 라영철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동부 김성호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신동아 이동하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태영 박석현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한양 김현욱</t>
    </r>
  </si>
  <si>
    <r>
      <rPr>
        <sz val="10"/>
        <rFont val="WenQuanYi Zen Hei"/>
        <family val="2"/>
      </rPr>
      <t xml:space="preserve">금호 강훈모 수석매니저</t>
    </r>
    <r>
      <rPr>
        <sz val="10"/>
        <rFont val="Arial"/>
        <family val="0"/>
        <charset val="1"/>
      </rPr>
      <t xml:space="preserve">, KR </t>
    </r>
    <r>
      <rPr>
        <sz val="10"/>
        <rFont val="WenQuanYi Zen Hei"/>
        <family val="2"/>
      </rPr>
      <t xml:space="preserve">차유진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대경 박용덕 부장</t>
    </r>
    <r>
      <rPr>
        <sz val="10"/>
        <rFont val="Arial"/>
        <family val="0"/>
        <charset val="1"/>
      </rPr>
      <t xml:space="preserve">, DL</t>
    </r>
    <r>
      <rPr>
        <sz val="10"/>
        <rFont val="WenQuanYi Zen Hei"/>
        <family val="2"/>
      </rPr>
      <t xml:space="preserve">이앤씨 안홍주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대우 김흥락 책임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계룡 사용기 부장</t>
    </r>
  </si>
  <si>
    <r>
      <rPr>
        <sz val="10"/>
        <rFont val="WenQuanYi Zen Hei"/>
        <family val="2"/>
      </rPr>
      <t xml:space="preserve">금호 허림 수석매니저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계룡 오병한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우미 배성민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대보 차대희 부장</t>
    </r>
    <r>
      <rPr>
        <sz val="10"/>
        <rFont val="Arial"/>
        <family val="0"/>
        <charset val="1"/>
      </rPr>
      <t xml:space="preserve">, DL</t>
    </r>
    <r>
      <rPr>
        <sz val="10"/>
        <rFont val="WenQuanYi Zen Hei"/>
        <family val="2"/>
      </rPr>
      <t xml:space="preserve">이앤씨 정태왕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신동아 안이태 부장</t>
    </r>
  </si>
  <si>
    <r>
      <rPr>
        <sz val="10"/>
        <rFont val="WenQuanYi Zen Hei"/>
        <family val="2"/>
      </rPr>
      <t xml:space="preserve">금호 김수희 수석매니저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금호 이경은 수석매니저</t>
    </r>
    <r>
      <rPr>
        <sz val="10"/>
        <rFont val="Arial"/>
        <family val="0"/>
        <charset val="1"/>
      </rPr>
      <t xml:space="preserve">, HJ</t>
    </r>
    <r>
      <rPr>
        <sz val="10"/>
        <rFont val="WenQuanYi Zen Hei"/>
        <family val="2"/>
      </rPr>
      <t xml:space="preserve">중공업 이범석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쌍용 전현도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금백 이규호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대보 박정석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한양 임재경 차장</t>
    </r>
  </si>
  <si>
    <r>
      <rPr>
        <sz val="10"/>
        <rFont val="Arial"/>
        <family val="0"/>
        <charset val="1"/>
      </rPr>
      <t xml:space="preserve">DL</t>
    </r>
    <r>
      <rPr>
        <sz val="10"/>
        <rFont val="WenQuanYi Zen Hei"/>
        <family val="2"/>
      </rPr>
      <t xml:space="preserve">이앤씨 이석현 부장</t>
    </r>
    <r>
      <rPr>
        <sz val="10"/>
        <rFont val="Arial"/>
        <family val="0"/>
        <charset val="1"/>
      </rPr>
      <t xml:space="preserve">, DL</t>
    </r>
    <r>
      <rPr>
        <sz val="10"/>
        <rFont val="WenQuanYi Zen Hei"/>
        <family val="2"/>
      </rPr>
      <t xml:space="preserve">건설 하동우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태영 백건구 차장</t>
    </r>
    <r>
      <rPr>
        <sz val="10"/>
        <rFont val="Arial"/>
        <family val="0"/>
        <charset val="1"/>
      </rPr>
      <t xml:space="preserve">, GS </t>
    </r>
    <r>
      <rPr>
        <sz val="10"/>
        <rFont val="WenQuanYi Zen Hei"/>
        <family val="2"/>
      </rPr>
      <t xml:space="preserve">서해두 부장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극동 차길환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계룡 권세호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계룡 송원한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금강 안현민 차장</t>
    </r>
    <r>
      <rPr>
        <sz val="10"/>
        <rFont val="Arial"/>
        <family val="0"/>
        <charset val="1"/>
      </rPr>
      <t xml:space="preserve">, GS </t>
    </r>
    <r>
      <rPr>
        <sz val="10"/>
        <rFont val="WenQuanYi Zen Hei"/>
        <family val="2"/>
      </rPr>
      <t xml:space="preserve">김태우 부장</t>
    </r>
  </si>
  <si>
    <r>
      <rPr>
        <sz val="10"/>
        <rFont val="WenQuanYi Zen Hei"/>
        <family val="2"/>
      </rPr>
      <t xml:space="preserve">코오롱 신재영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코오롱 권희선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제일 김재승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현대</t>
    </r>
    <r>
      <rPr>
        <sz val="10"/>
        <rFont val="Arial"/>
        <family val="0"/>
        <charset val="1"/>
      </rPr>
      <t xml:space="preserve">ENG </t>
    </r>
    <r>
      <rPr>
        <sz val="10"/>
        <rFont val="WenQuanYi Zen Hei"/>
        <family val="2"/>
      </rPr>
      <t xml:space="preserve">이진혁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동부 김대건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동부 정훈기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이수 김종욱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한화 차원재 차장</t>
    </r>
  </si>
  <si>
    <r>
      <rPr>
        <sz val="10"/>
        <rFont val="WenQuanYi Zen Hei"/>
        <family val="2"/>
      </rPr>
      <t xml:space="preserve">한신 이상혁 차장</t>
    </r>
    <r>
      <rPr>
        <sz val="10"/>
        <rFont val="Arial"/>
        <family val="0"/>
        <charset val="1"/>
      </rPr>
      <t xml:space="preserve">, GS </t>
    </r>
    <r>
      <rPr>
        <sz val="10"/>
        <rFont val="WenQuanYi Zen Hei"/>
        <family val="2"/>
      </rPr>
      <t xml:space="preserve">정가람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대보 정영호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한화 하현성 차장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현대 이호창 책임매니저</t>
    </r>
  </si>
  <si>
    <r>
      <rPr>
        <sz val="10"/>
        <rFont val="Arial"/>
        <family val="0"/>
        <charset val="1"/>
      </rPr>
      <t xml:space="preserve">HJ</t>
    </r>
    <r>
      <rPr>
        <sz val="10"/>
        <rFont val="WenQuanYi Zen Hei"/>
        <family val="2"/>
      </rPr>
      <t xml:space="preserve">중공업 이상범 과장</t>
    </r>
  </si>
  <si>
    <t xml:space="preserve">합계</t>
  </si>
  <si>
    <t xml:space="preserve">업체별 현황</t>
  </si>
  <si>
    <r>
      <rPr>
        <sz val="9"/>
        <color rgb="FF595959"/>
        <rFont val="WenQuanYi Zen Hei"/>
        <family val="2"/>
      </rPr>
      <t xml:space="preserve">출처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인원명부 시트 집계 </t>
    </r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업체명은 현황 </t>
    </r>
    <r>
      <rPr>
        <sz val="9"/>
        <color rgb="FF595959"/>
        <rFont val="Arial"/>
        <family val="0"/>
        <charset val="1"/>
      </rPr>
      <t xml:space="preserve">PDF </t>
    </r>
    <r>
      <rPr>
        <sz val="9"/>
        <color rgb="FF595959"/>
        <rFont val="WenQuanYi Zen Hei"/>
        <family val="2"/>
      </rPr>
      <t xml:space="preserve">표기 기준으로 표준화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동부건설→동부</t>
    </r>
    <r>
      <rPr>
        <sz val="9"/>
        <color rgb="FF595959"/>
        <rFont val="Arial"/>
        <family val="0"/>
        <charset val="1"/>
      </rPr>
      <t xml:space="preserve">, HJ→HJ</t>
    </r>
    <r>
      <rPr>
        <sz val="9"/>
        <color rgb="FF595959"/>
        <rFont val="WenQuanYi Zen Hei"/>
        <family val="2"/>
      </rPr>
      <t xml:space="preserve">중공업</t>
    </r>
    <r>
      <rPr>
        <sz val="9"/>
        <color rgb="FF595959"/>
        <rFont val="Arial"/>
        <family val="0"/>
        <charset val="1"/>
      </rPr>
      <t xml:space="preserve">)</t>
    </r>
  </si>
  <si>
    <t xml:space="preserve">순위</t>
  </si>
  <si>
    <t xml:space="preserve">업체</t>
  </si>
  <si>
    <r>
      <rPr>
        <b val="true"/>
        <sz val="10"/>
        <color rgb="FFFFFFFF"/>
        <rFont val="WenQuanYi Zen Hei"/>
        <family val="2"/>
      </rPr>
      <t xml:space="preserve">명단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성명 직급 년생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</si>
  <si>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정재수 전무</t>
    </r>
    <r>
      <rPr>
        <sz val="10"/>
        <rFont val="Arial"/>
        <family val="0"/>
        <charset val="1"/>
      </rPr>
      <t xml:space="preserve">(66), </t>
    </r>
    <r>
      <rPr>
        <sz val="10"/>
        <rFont val="WenQuanYi Zen Hei"/>
        <family val="2"/>
      </rPr>
      <t xml:space="preserve">손익창 상무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양진영 부장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하승훈 상무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김홍석 부장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차대희 부장</t>
    </r>
    <r>
      <rPr>
        <sz val="10"/>
        <rFont val="Arial"/>
        <family val="0"/>
        <charset val="1"/>
      </rPr>
      <t xml:space="preserve">(80), </t>
    </r>
    <r>
      <rPr>
        <sz val="10"/>
        <rFont val="WenQuanYi Zen Hei"/>
        <family val="2"/>
      </rPr>
      <t xml:space="preserve">박정석 차장</t>
    </r>
    <r>
      <rPr>
        <sz val="10"/>
        <rFont val="Arial"/>
        <family val="0"/>
        <charset val="1"/>
      </rPr>
      <t xml:space="preserve">(81), </t>
    </r>
    <r>
      <rPr>
        <sz val="10"/>
        <rFont val="WenQuanYi Zen Hei"/>
        <family val="2"/>
      </rPr>
      <t xml:space="preserve">정영호 차장</t>
    </r>
    <r>
      <rPr>
        <sz val="10"/>
        <rFont val="Arial"/>
        <family val="0"/>
        <charset val="1"/>
      </rPr>
      <t xml:space="preserve">(84)</t>
    </r>
  </si>
  <si>
    <r>
      <rPr>
        <sz val="10"/>
        <rFont val="WenQuanYi Zen Hei"/>
        <family val="2"/>
      </rPr>
      <t xml:space="preserve">김희석 전무</t>
    </r>
    <r>
      <rPr>
        <sz val="10"/>
        <rFont val="Arial"/>
        <family val="0"/>
        <charset val="1"/>
      </rPr>
      <t xml:space="preserve">(70), </t>
    </r>
    <r>
      <rPr>
        <sz val="10"/>
        <rFont val="WenQuanYi Zen Hei"/>
        <family val="2"/>
      </rPr>
      <t xml:space="preserve">김종표 상무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정필교 상무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손규홍 부장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김성호 부장</t>
    </r>
    <r>
      <rPr>
        <sz val="10"/>
        <rFont val="Arial"/>
        <family val="0"/>
        <charset val="1"/>
      </rPr>
      <t xml:space="preserve">(78), </t>
    </r>
    <r>
      <rPr>
        <sz val="10"/>
        <rFont val="WenQuanYi Zen Hei"/>
        <family val="2"/>
      </rPr>
      <t xml:space="preserve">김대건 차장</t>
    </r>
    <r>
      <rPr>
        <sz val="10"/>
        <rFont val="Arial"/>
        <family val="0"/>
        <charset val="1"/>
      </rPr>
      <t xml:space="preserve">(83), </t>
    </r>
    <r>
      <rPr>
        <sz val="10"/>
        <rFont val="WenQuanYi Zen Hei"/>
        <family val="2"/>
      </rPr>
      <t xml:space="preserve">정훈기 차장</t>
    </r>
    <r>
      <rPr>
        <sz val="10"/>
        <rFont val="Arial"/>
        <family val="0"/>
        <charset val="1"/>
      </rPr>
      <t xml:space="preserve">(83)</t>
    </r>
  </si>
  <si>
    <r>
      <rPr>
        <sz val="10"/>
        <rFont val="WenQuanYi Zen Hei"/>
        <family val="2"/>
      </rPr>
      <t xml:space="preserve">정회경 상무</t>
    </r>
    <r>
      <rPr>
        <sz val="10"/>
        <rFont val="Arial"/>
        <family val="0"/>
        <charset val="1"/>
      </rPr>
      <t xml:space="preserve">(71), </t>
    </r>
    <r>
      <rPr>
        <sz val="10"/>
        <rFont val="WenQuanYi Zen Hei"/>
        <family val="2"/>
      </rPr>
      <t xml:space="preserve">김건용 상무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김성용 부장</t>
    </r>
    <r>
      <rPr>
        <sz val="10"/>
        <rFont val="Arial"/>
        <family val="0"/>
        <charset val="1"/>
      </rPr>
      <t xml:space="preserve">(74), </t>
    </r>
    <r>
      <rPr>
        <sz val="10"/>
        <rFont val="WenQuanYi Zen Hei"/>
        <family val="2"/>
      </rPr>
      <t xml:space="preserve">김준의 부장</t>
    </r>
    <r>
      <rPr>
        <sz val="10"/>
        <rFont val="Arial"/>
        <family val="0"/>
        <charset val="1"/>
      </rPr>
      <t xml:space="preserve">(74), </t>
    </r>
    <r>
      <rPr>
        <sz val="10"/>
        <rFont val="WenQuanYi Zen Hei"/>
        <family val="2"/>
      </rPr>
      <t xml:space="preserve">라영철 차장</t>
    </r>
    <r>
      <rPr>
        <sz val="10"/>
        <rFont val="Arial"/>
        <family val="0"/>
        <charset val="1"/>
      </rPr>
      <t xml:space="preserve">(78), </t>
    </r>
    <r>
      <rPr>
        <sz val="10"/>
        <rFont val="WenQuanYi Zen Hei"/>
        <family val="2"/>
      </rPr>
      <t xml:space="preserve">이범석 부장</t>
    </r>
    <r>
      <rPr>
        <sz val="10"/>
        <rFont val="Arial"/>
        <family val="0"/>
        <charset val="1"/>
      </rPr>
      <t xml:space="preserve">(81), </t>
    </r>
    <r>
      <rPr>
        <sz val="10"/>
        <rFont val="WenQuanYi Zen Hei"/>
        <family val="2"/>
      </rPr>
      <t xml:space="preserve">이상범 과장</t>
    </r>
    <r>
      <rPr>
        <sz val="10"/>
        <rFont val="Arial"/>
        <family val="0"/>
        <charset val="1"/>
      </rPr>
      <t xml:space="preserve">(85)</t>
    </r>
  </si>
  <si>
    <r>
      <rPr>
        <sz val="10"/>
        <rFont val="WenQuanYi Zen Hei"/>
        <family val="2"/>
      </rPr>
      <t xml:space="preserve">전병규 상무</t>
    </r>
    <r>
      <rPr>
        <sz val="10"/>
        <rFont val="Arial"/>
        <family val="0"/>
        <charset val="1"/>
      </rPr>
      <t xml:space="preserve">(71), </t>
    </r>
    <r>
      <rPr>
        <sz val="10"/>
        <rFont val="WenQuanYi Zen Hei"/>
        <family val="2"/>
      </rPr>
      <t xml:space="preserve">강희관 상무</t>
    </r>
    <r>
      <rPr>
        <sz val="10"/>
        <rFont val="Arial"/>
        <family val="0"/>
        <charset val="1"/>
      </rPr>
      <t xml:space="preserve">(72), </t>
    </r>
    <r>
      <rPr>
        <sz val="10"/>
        <rFont val="WenQuanYi Zen Hei"/>
        <family val="2"/>
      </rPr>
      <t xml:space="preserve">김동식 부장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사용기 부장</t>
    </r>
    <r>
      <rPr>
        <sz val="10"/>
        <rFont val="Arial"/>
        <family val="0"/>
        <charset val="1"/>
      </rPr>
      <t xml:space="preserve">(79), </t>
    </r>
    <r>
      <rPr>
        <sz val="10"/>
        <rFont val="WenQuanYi Zen Hei"/>
        <family val="2"/>
      </rPr>
      <t xml:space="preserve">오병한 부장</t>
    </r>
    <r>
      <rPr>
        <sz val="10"/>
        <rFont val="Arial"/>
        <family val="0"/>
        <charset val="1"/>
      </rPr>
      <t xml:space="preserve">(80), </t>
    </r>
    <r>
      <rPr>
        <sz val="10"/>
        <rFont val="WenQuanYi Zen Hei"/>
        <family val="2"/>
      </rPr>
      <t xml:space="preserve">권세호 차장</t>
    </r>
    <r>
      <rPr>
        <sz val="10"/>
        <rFont val="Arial"/>
        <family val="0"/>
        <charset val="1"/>
      </rPr>
      <t xml:space="preserve">(82), </t>
    </r>
    <r>
      <rPr>
        <sz val="10"/>
        <rFont val="WenQuanYi Zen Hei"/>
        <family val="2"/>
      </rPr>
      <t xml:space="preserve">송원한 차장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</si>
  <si>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박창용 실장</t>
    </r>
    <r>
      <rPr>
        <sz val="10"/>
        <rFont val="Arial"/>
        <family val="0"/>
        <charset val="1"/>
      </rPr>
      <t xml:space="preserve">(74), </t>
    </r>
    <r>
      <rPr>
        <sz val="10"/>
        <rFont val="WenQuanYi Zen Hei"/>
        <family val="2"/>
      </rPr>
      <t xml:space="preserve">박은철 상무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송영찬 부장</t>
    </r>
    <r>
      <rPr>
        <sz val="10"/>
        <rFont val="Arial"/>
        <family val="0"/>
        <charset val="1"/>
      </rPr>
      <t xml:space="preserve">(77), </t>
    </r>
    <r>
      <rPr>
        <sz val="10"/>
        <rFont val="WenQuanYi Zen Hei"/>
        <family val="2"/>
      </rPr>
      <t xml:space="preserve">안홍주 부장</t>
    </r>
    <r>
      <rPr>
        <sz val="10"/>
        <rFont val="Arial"/>
        <family val="0"/>
        <charset val="1"/>
      </rPr>
      <t xml:space="preserve">(79), </t>
    </r>
    <r>
      <rPr>
        <sz val="10"/>
        <rFont val="WenQuanYi Zen Hei"/>
        <family val="2"/>
      </rPr>
      <t xml:space="preserve">정태왕 부장</t>
    </r>
    <r>
      <rPr>
        <sz val="10"/>
        <rFont val="Arial"/>
        <family val="0"/>
        <charset val="1"/>
      </rPr>
      <t xml:space="preserve">(80), </t>
    </r>
    <r>
      <rPr>
        <sz val="10"/>
        <rFont val="WenQuanYi Zen Hei"/>
        <family val="2"/>
      </rPr>
      <t xml:space="preserve">이석현 부장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</si>
  <si>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신재혁 전무</t>
    </r>
    <r>
      <rPr>
        <sz val="10"/>
        <rFont val="Arial"/>
        <family val="0"/>
        <charset val="1"/>
      </rPr>
      <t xml:space="preserve">(70), </t>
    </r>
    <r>
      <rPr>
        <sz val="10"/>
        <rFont val="WenQuanYi Zen Hei"/>
        <family val="2"/>
      </rPr>
      <t xml:space="preserve">김찬식 상무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강훈모 수석매니저</t>
    </r>
    <r>
      <rPr>
        <sz val="10"/>
        <rFont val="Arial"/>
        <family val="0"/>
        <charset val="1"/>
      </rPr>
      <t xml:space="preserve">(79), </t>
    </r>
    <r>
      <rPr>
        <sz val="10"/>
        <rFont val="WenQuanYi Zen Hei"/>
        <family val="2"/>
      </rPr>
      <t xml:space="preserve">허림 수석매니저</t>
    </r>
    <r>
      <rPr>
        <sz val="10"/>
        <rFont val="Arial"/>
        <family val="0"/>
        <charset val="1"/>
      </rPr>
      <t xml:space="preserve">(80), </t>
    </r>
    <r>
      <rPr>
        <sz val="10"/>
        <rFont val="WenQuanYi Zen Hei"/>
        <family val="2"/>
      </rPr>
      <t xml:space="preserve">김수희 수석매니저</t>
    </r>
    <r>
      <rPr>
        <sz val="10"/>
        <rFont val="Arial"/>
        <family val="0"/>
        <charset val="1"/>
      </rPr>
      <t xml:space="preserve">(81), </t>
    </r>
    <r>
      <rPr>
        <sz val="10"/>
        <rFont val="WenQuanYi Zen Hei"/>
        <family val="2"/>
      </rPr>
      <t xml:space="preserve">이경은 수석매니저</t>
    </r>
    <r>
      <rPr>
        <sz val="10"/>
        <rFont val="Arial"/>
        <family val="0"/>
        <charset val="1"/>
      </rPr>
      <t xml:space="preserve">(81)</t>
    </r>
  </si>
  <si>
    <r>
      <rPr>
        <sz val="10"/>
        <rFont val="WenQuanYi Zen Hei"/>
        <family val="2"/>
      </rPr>
      <t xml:space="preserve">성중규 부장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박재범 부장</t>
    </r>
    <r>
      <rPr>
        <sz val="10"/>
        <rFont val="Arial"/>
        <family val="0"/>
        <charset val="1"/>
      </rPr>
      <t xml:space="preserve">(74), </t>
    </r>
    <r>
      <rPr>
        <sz val="10"/>
        <rFont val="WenQuanYi Zen Hei"/>
        <family val="2"/>
      </rPr>
      <t xml:space="preserve">서해두 부장</t>
    </r>
    <r>
      <rPr>
        <sz val="10"/>
        <rFont val="Arial"/>
        <family val="0"/>
        <charset val="1"/>
      </rPr>
      <t xml:space="preserve">(82), </t>
    </r>
    <r>
      <rPr>
        <sz val="10"/>
        <rFont val="WenQuanYi Zen Hei"/>
        <family val="2"/>
      </rPr>
      <t xml:space="preserve">김태우 부장</t>
    </r>
    <r>
      <rPr>
        <sz val="10"/>
        <rFont val="Arial"/>
        <family val="0"/>
        <charset val="1"/>
      </rPr>
      <t xml:space="preserve">(82), </t>
    </r>
    <r>
      <rPr>
        <sz val="10"/>
        <rFont val="WenQuanYi Zen Hei"/>
        <family val="2"/>
      </rPr>
      <t xml:space="preserve">정가람 차장</t>
    </r>
    <r>
      <rPr>
        <sz val="10"/>
        <rFont val="Arial"/>
        <family val="0"/>
        <charset val="1"/>
      </rPr>
      <t xml:space="preserve">(84)</t>
    </r>
  </si>
  <si>
    <r>
      <rPr>
        <sz val="10"/>
        <rFont val="WenQuanYi Zen Hei"/>
        <family val="2"/>
      </rPr>
      <t xml:space="preserve">정진형 전무</t>
    </r>
    <r>
      <rPr>
        <sz val="10"/>
        <rFont val="Arial"/>
        <family val="0"/>
        <charset val="1"/>
      </rPr>
      <t xml:space="preserve">(66), </t>
    </r>
    <r>
      <rPr>
        <sz val="10"/>
        <rFont val="WenQuanYi Zen Hei"/>
        <family val="2"/>
      </rPr>
      <t xml:space="preserve">우기수 상무</t>
    </r>
    <r>
      <rPr>
        <sz val="10"/>
        <rFont val="Arial"/>
        <family val="0"/>
        <charset val="1"/>
      </rPr>
      <t xml:space="preserve">(72), </t>
    </r>
    <r>
      <rPr>
        <sz val="10"/>
        <rFont val="WenQuanYi Zen Hei"/>
        <family val="2"/>
      </rPr>
      <t xml:space="preserve">박석현 부장</t>
    </r>
    <r>
      <rPr>
        <sz val="10"/>
        <rFont val="Arial"/>
        <family val="0"/>
        <charset val="1"/>
      </rPr>
      <t xml:space="preserve">(78), </t>
    </r>
    <r>
      <rPr>
        <sz val="10"/>
        <rFont val="WenQuanYi Zen Hei"/>
        <family val="2"/>
      </rPr>
      <t xml:space="preserve">백건구 차장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</si>
  <si>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위현복 상무</t>
    </r>
    <r>
      <rPr>
        <sz val="10"/>
        <rFont val="Arial"/>
        <family val="0"/>
        <charset val="1"/>
      </rPr>
      <t xml:space="preserve">(70), </t>
    </r>
    <r>
      <rPr>
        <sz val="10"/>
        <rFont val="WenQuanYi Zen Hei"/>
        <family val="2"/>
      </rPr>
      <t xml:space="preserve">이준성 부장</t>
    </r>
    <r>
      <rPr>
        <sz val="10"/>
        <rFont val="Arial"/>
        <family val="0"/>
        <charset val="1"/>
      </rPr>
      <t xml:space="preserve">(75), </t>
    </r>
    <r>
      <rPr>
        <sz val="10"/>
        <rFont val="WenQuanYi Zen Hei"/>
        <family val="2"/>
      </rPr>
      <t xml:space="preserve">유태현 부장</t>
    </r>
    <r>
      <rPr>
        <sz val="10"/>
        <rFont val="Arial"/>
        <family val="0"/>
        <charset val="1"/>
      </rPr>
      <t xml:space="preserve">(77), </t>
    </r>
    <r>
      <rPr>
        <sz val="10"/>
        <rFont val="WenQuanYi Zen Hei"/>
        <family val="2"/>
      </rPr>
      <t xml:space="preserve">안현민 차장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</si>
  <si>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조훈 상무</t>
    </r>
    <r>
      <rPr>
        <sz val="10"/>
        <rFont val="Arial"/>
        <family val="0"/>
        <charset val="1"/>
      </rPr>
      <t xml:space="preserve">(69), </t>
    </r>
    <r>
      <rPr>
        <sz val="10"/>
        <rFont val="WenQuanYi Zen Hei"/>
        <family val="2"/>
      </rPr>
      <t xml:space="preserve">이유한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김현욱</t>
    </r>
    <r>
      <rPr>
        <sz val="10"/>
        <rFont val="Arial"/>
        <family val="0"/>
        <charset val="1"/>
      </rPr>
      <t xml:space="preserve">(78), </t>
    </r>
    <r>
      <rPr>
        <sz val="10"/>
        <rFont val="WenQuanYi Zen Hei"/>
        <family val="2"/>
      </rPr>
      <t xml:space="preserve">임재경 차장</t>
    </r>
    <r>
      <rPr>
        <sz val="10"/>
        <rFont val="Arial"/>
        <family val="0"/>
        <charset val="1"/>
      </rPr>
      <t xml:space="preserve">(81)</t>
    </r>
  </si>
  <si>
    <r>
      <rPr>
        <sz val="10"/>
        <rFont val="WenQuanYi Zen Hei"/>
        <family val="2"/>
      </rPr>
      <t xml:space="preserve">박영철 부장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송원영 부장</t>
    </r>
    <r>
      <rPr>
        <sz val="10"/>
        <rFont val="Arial"/>
        <family val="0"/>
        <charset val="1"/>
      </rPr>
      <t xml:space="preserve">(75), </t>
    </r>
    <r>
      <rPr>
        <sz val="10"/>
        <rFont val="WenQuanYi Zen Hei"/>
        <family val="2"/>
      </rPr>
      <t xml:space="preserve">차원재 차장</t>
    </r>
    <r>
      <rPr>
        <sz val="10"/>
        <rFont val="Arial"/>
        <family val="0"/>
        <charset val="1"/>
      </rPr>
      <t xml:space="preserve">(83), </t>
    </r>
    <r>
      <rPr>
        <sz val="10"/>
        <rFont val="WenQuanYi Zen Hei"/>
        <family val="2"/>
      </rPr>
      <t xml:space="preserve">하현성 차장</t>
    </r>
    <r>
      <rPr>
        <sz val="10"/>
        <rFont val="Arial"/>
        <family val="0"/>
        <charset val="1"/>
      </rPr>
      <t xml:space="preserve">(84)</t>
    </r>
  </si>
  <si>
    <r>
      <rPr>
        <sz val="10"/>
        <rFont val="WenQuanYi Zen Hei"/>
        <family val="2"/>
      </rPr>
      <t xml:space="preserve">허정호 부사장</t>
    </r>
    <r>
      <rPr>
        <sz val="10"/>
        <rFont val="Arial"/>
        <family val="0"/>
        <charset val="1"/>
      </rPr>
      <t xml:space="preserve">(66), </t>
    </r>
    <r>
      <rPr>
        <sz val="10"/>
        <rFont val="WenQuanYi Zen Hei"/>
        <family val="2"/>
      </rPr>
      <t xml:space="preserve">남도현 상무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박주현 부장</t>
    </r>
    <r>
      <rPr>
        <sz val="10"/>
        <rFont val="Arial"/>
        <family val="0"/>
        <charset val="1"/>
      </rPr>
      <t xml:space="preserve">(76)</t>
    </r>
  </si>
  <si>
    <r>
      <rPr>
        <sz val="10"/>
        <rFont val="WenQuanYi Zen Hei"/>
        <family val="2"/>
      </rPr>
      <t xml:space="preserve">김형일 전무</t>
    </r>
    <r>
      <rPr>
        <sz val="10"/>
        <rFont val="Arial"/>
        <family val="0"/>
        <charset val="1"/>
      </rPr>
      <t xml:space="preserve">(70), </t>
    </r>
    <r>
      <rPr>
        <sz val="10"/>
        <rFont val="WenQuanYi Zen Hei"/>
        <family val="2"/>
      </rPr>
      <t xml:space="preserve">김철호 상무</t>
    </r>
    <r>
      <rPr>
        <sz val="10"/>
        <rFont val="Arial"/>
        <family val="0"/>
        <charset val="1"/>
      </rPr>
      <t xml:space="preserve">(75), </t>
    </r>
    <r>
      <rPr>
        <sz val="10"/>
        <rFont val="WenQuanYi Zen Hei"/>
        <family val="2"/>
      </rPr>
      <t xml:space="preserve">배성민 부장</t>
    </r>
    <r>
      <rPr>
        <sz val="10"/>
        <rFont val="Arial"/>
        <family val="0"/>
        <charset val="1"/>
      </rPr>
      <t xml:space="preserve">(80)</t>
    </r>
  </si>
  <si>
    <r>
      <rPr>
        <sz val="10"/>
        <rFont val="WenQuanYi Zen Hei"/>
        <family val="2"/>
      </rPr>
      <t xml:space="preserve">박한섭 전무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이진만 부장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차길환 차장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</si>
  <si>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김용 상무</t>
    </r>
    <r>
      <rPr>
        <sz val="10"/>
        <rFont val="Arial"/>
        <family val="0"/>
        <charset val="1"/>
      </rPr>
      <t xml:space="preserve">(70), </t>
    </r>
    <r>
      <rPr>
        <sz val="10"/>
        <rFont val="WenQuanYi Zen Hei"/>
        <family val="2"/>
      </rPr>
      <t xml:space="preserve">박민혁 책임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김흥락 책임</t>
    </r>
    <r>
      <rPr>
        <sz val="10"/>
        <rFont val="Arial"/>
        <family val="0"/>
        <charset val="1"/>
      </rPr>
      <t xml:space="preserve">(79)</t>
    </r>
  </si>
  <si>
    <r>
      <rPr>
        <sz val="10"/>
        <rFont val="WenQuanYi Zen Hei"/>
        <family val="2"/>
      </rPr>
      <t xml:space="preserve">최경식 상무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이동하 부장</t>
    </r>
    <r>
      <rPr>
        <sz val="10"/>
        <rFont val="Arial"/>
        <family val="0"/>
        <charset val="1"/>
      </rPr>
      <t xml:space="preserve">(78), </t>
    </r>
    <r>
      <rPr>
        <sz val="10"/>
        <rFont val="WenQuanYi Zen Hei"/>
        <family val="2"/>
      </rPr>
      <t xml:space="preserve">안이태 부장</t>
    </r>
    <r>
      <rPr>
        <sz val="10"/>
        <rFont val="Arial"/>
        <family val="0"/>
        <charset val="1"/>
      </rPr>
      <t xml:space="preserve">(80)</t>
    </r>
  </si>
  <si>
    <r>
      <rPr>
        <sz val="10"/>
        <rFont val="WenQuanYi Zen Hei"/>
        <family val="2"/>
      </rPr>
      <t xml:space="preserve">김준기 상무</t>
    </r>
    <r>
      <rPr>
        <sz val="10"/>
        <rFont val="Arial"/>
        <family val="0"/>
        <charset val="1"/>
      </rPr>
      <t xml:space="preserve">(72), </t>
    </r>
    <r>
      <rPr>
        <sz val="10"/>
        <rFont val="WenQuanYi Zen Hei"/>
        <family val="2"/>
      </rPr>
      <t xml:space="preserve">김동현 부장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조성필 차장</t>
    </r>
    <r>
      <rPr>
        <sz val="10"/>
        <rFont val="Arial"/>
        <family val="0"/>
        <charset val="1"/>
      </rPr>
      <t xml:space="preserve">(77)</t>
    </r>
  </si>
  <si>
    <r>
      <rPr>
        <sz val="10"/>
        <rFont val="WenQuanYi Zen Hei"/>
        <family val="2"/>
      </rPr>
      <t xml:space="preserve">신윤선 상무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신재영 차장</t>
    </r>
    <r>
      <rPr>
        <sz val="10"/>
        <rFont val="Arial"/>
        <family val="0"/>
        <charset val="1"/>
      </rPr>
      <t xml:space="preserve">(83), </t>
    </r>
    <r>
      <rPr>
        <sz val="10"/>
        <rFont val="WenQuanYi Zen Hei"/>
        <family val="2"/>
      </rPr>
      <t xml:space="preserve">권희선 차장</t>
    </r>
    <r>
      <rPr>
        <sz val="10"/>
        <rFont val="Arial"/>
        <family val="0"/>
        <charset val="1"/>
      </rPr>
      <t xml:space="preserve">(83)</t>
    </r>
  </si>
  <si>
    <r>
      <rPr>
        <sz val="10"/>
        <rFont val="WenQuanYi Zen Hei"/>
        <family val="2"/>
      </rPr>
      <t xml:space="preserve">조규용 상무</t>
    </r>
    <r>
      <rPr>
        <sz val="10"/>
        <rFont val="Arial"/>
        <family val="0"/>
        <charset val="1"/>
      </rPr>
      <t xml:space="preserve">(70), </t>
    </r>
    <r>
      <rPr>
        <sz val="10"/>
        <rFont val="WenQuanYi Zen Hei"/>
        <family val="2"/>
      </rPr>
      <t xml:space="preserve">김용진 부장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이상혁 차장</t>
    </r>
    <r>
      <rPr>
        <sz val="10"/>
        <rFont val="Arial"/>
        <family val="0"/>
        <charset val="1"/>
      </rPr>
      <t xml:space="preserve">(84)</t>
    </r>
  </si>
  <si>
    <r>
      <rPr>
        <sz val="10"/>
        <rFont val="WenQuanYi Zen Hei"/>
        <family val="2"/>
      </rPr>
      <t xml:space="preserve">조판철 상무</t>
    </r>
    <r>
      <rPr>
        <sz val="10"/>
        <rFont val="Arial"/>
        <family val="0"/>
        <charset val="1"/>
      </rPr>
      <t xml:space="preserve">(66), </t>
    </r>
    <r>
      <rPr>
        <sz val="10"/>
        <rFont val="WenQuanYi Zen Hei"/>
        <family val="2"/>
      </rPr>
      <t xml:space="preserve">차유진 부장</t>
    </r>
    <r>
      <rPr>
        <sz val="10"/>
        <rFont val="Arial"/>
        <family val="0"/>
        <charset val="1"/>
      </rPr>
      <t xml:space="preserve">(79)</t>
    </r>
  </si>
  <si>
    <r>
      <rPr>
        <sz val="10"/>
        <rFont val="WenQuanYi Zen Hei"/>
        <family val="2"/>
      </rPr>
      <t xml:space="preserve">김성우 이사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길동영 부장</t>
    </r>
    <r>
      <rPr>
        <sz val="10"/>
        <rFont val="Arial"/>
        <family val="0"/>
        <charset val="1"/>
      </rPr>
      <t xml:space="preserve">(76)</t>
    </r>
  </si>
  <si>
    <r>
      <rPr>
        <sz val="10"/>
        <rFont val="WenQuanYi Zen Hei"/>
        <family val="2"/>
      </rPr>
      <t xml:space="preserve">최병훈 이사</t>
    </r>
    <r>
      <rPr>
        <sz val="10"/>
        <rFont val="Arial"/>
        <family val="0"/>
        <charset val="1"/>
      </rPr>
      <t xml:space="preserve">(75), </t>
    </r>
    <r>
      <rPr>
        <sz val="10"/>
        <rFont val="WenQuanYi Zen Hei"/>
        <family val="2"/>
      </rPr>
      <t xml:space="preserve">김종욱 차장</t>
    </r>
    <r>
      <rPr>
        <sz val="10"/>
        <rFont val="Arial"/>
        <family val="0"/>
        <charset val="1"/>
      </rPr>
      <t xml:space="preserve">(83)</t>
    </r>
  </si>
  <si>
    <r>
      <rPr>
        <sz val="10"/>
        <rFont val="WenQuanYi Zen Hei"/>
        <family val="2"/>
      </rPr>
      <t xml:space="preserve">임흥식 전무</t>
    </r>
    <r>
      <rPr>
        <sz val="10"/>
        <rFont val="Arial"/>
        <family val="0"/>
        <charset val="1"/>
      </rPr>
      <t xml:space="preserve">(70)</t>
    </r>
  </si>
  <si>
    <r>
      <rPr>
        <sz val="10"/>
        <rFont val="WenQuanYi Zen Hei"/>
        <family val="2"/>
      </rPr>
      <t xml:space="preserve">박종진 전무</t>
    </r>
    <r>
      <rPr>
        <sz val="10"/>
        <rFont val="Arial"/>
        <family val="0"/>
        <charset val="1"/>
      </rPr>
      <t xml:space="preserve">(66)</t>
    </r>
  </si>
  <si>
    <r>
      <rPr>
        <sz val="10"/>
        <rFont val="WenQuanYi Zen Hei"/>
        <family val="2"/>
      </rPr>
      <t xml:space="preserve">하동우 부장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</si>
  <si>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이규호 차장</t>
    </r>
    <r>
      <rPr>
        <sz val="10"/>
        <rFont val="Arial"/>
        <family val="0"/>
        <charset val="1"/>
      </rPr>
      <t xml:space="preserve">(81)</t>
    </r>
  </si>
  <si>
    <r>
      <rPr>
        <sz val="10"/>
        <rFont val="WenQuanYi Zen Hei"/>
        <family val="2"/>
      </rPr>
      <t xml:space="preserve">박용덕 부장</t>
    </r>
    <r>
      <rPr>
        <sz val="10"/>
        <rFont val="Arial"/>
        <family val="0"/>
        <charset val="1"/>
      </rPr>
      <t xml:space="preserve">(79)</t>
    </r>
  </si>
  <si>
    <r>
      <rPr>
        <sz val="10"/>
        <rFont val="WenQuanYi Zen Hei"/>
        <family val="2"/>
      </rPr>
      <t xml:space="preserve">전현도 차장</t>
    </r>
    <r>
      <rPr>
        <sz val="10"/>
        <rFont val="Arial"/>
        <family val="0"/>
        <charset val="1"/>
      </rPr>
      <t xml:space="preserve">(81)</t>
    </r>
  </si>
  <si>
    <r>
      <rPr>
        <sz val="10"/>
        <rFont val="WenQuanYi Zen Hei"/>
        <family val="2"/>
      </rPr>
      <t xml:space="preserve">김재승 차장</t>
    </r>
    <r>
      <rPr>
        <sz val="10"/>
        <rFont val="Arial"/>
        <family val="0"/>
        <charset val="1"/>
      </rPr>
      <t xml:space="preserve">(83)</t>
    </r>
  </si>
  <si>
    <r>
      <rPr>
        <sz val="10"/>
        <rFont val="WenQuanYi Zen Hei"/>
        <family val="2"/>
      </rPr>
      <t xml:space="preserve">이호창 책임매니저</t>
    </r>
    <r>
      <rPr>
        <sz val="10"/>
        <rFont val="Arial"/>
        <family val="0"/>
        <charset val="1"/>
      </rPr>
      <t xml:space="preserve">(84)</t>
    </r>
  </si>
  <si>
    <r>
      <rPr>
        <sz val="10"/>
        <rFont val="WenQuanYi Zen Hei"/>
        <family val="2"/>
      </rPr>
      <t xml:space="preserve">이진혁 차장</t>
    </r>
    <r>
      <rPr>
        <sz val="10"/>
        <rFont val="Arial"/>
        <family val="0"/>
        <charset val="1"/>
      </rPr>
      <t xml:space="preserve">(83)</t>
    </r>
  </si>
  <si>
    <t xml:space="preserve">학교별 현황</t>
  </si>
  <si>
    <r>
      <rPr>
        <sz val="9"/>
        <color rgb="FF595959"/>
        <rFont val="WenQuanYi Zen Hei"/>
        <family val="2"/>
      </rPr>
      <t xml:space="preserve">출처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인원명부 대표학교 기준 집계 </t>
    </r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대표학교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지역은 학교별 분석 </t>
    </r>
    <r>
      <rPr>
        <sz val="9"/>
        <color rgb="FF595959"/>
        <rFont val="Arial"/>
        <family val="0"/>
        <charset val="1"/>
      </rPr>
      <t xml:space="preserve">PDF </t>
    </r>
    <r>
      <rPr>
        <sz val="9"/>
        <color rgb="FF595959"/>
        <rFont val="WenQuanYi Zen Hei"/>
        <family val="2"/>
      </rPr>
      <t xml:space="preserve">분류 준용 </t>
    </r>
    <r>
      <rPr>
        <sz val="9"/>
        <color rgb="FF595959"/>
        <rFont val="Arial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지역 공란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원자료 미기재</t>
    </r>
  </si>
  <si>
    <t xml:space="preserve">학교</t>
  </si>
  <si>
    <t xml:space="preserve">지역</t>
  </si>
  <si>
    <r>
      <rPr>
        <b val="true"/>
        <sz val="10"/>
        <color rgb="FFFFFFFF"/>
        <rFont val="WenQuanYi Zen Hei"/>
        <family val="2"/>
      </rPr>
      <t xml:space="preserve">명단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업체 성명 직급 년생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</si>
  <si>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대보 정재수 전무</t>
    </r>
    <r>
      <rPr>
        <sz val="10"/>
        <rFont val="Arial"/>
        <family val="0"/>
        <charset val="1"/>
      </rPr>
      <t xml:space="preserve">(66), </t>
    </r>
    <r>
      <rPr>
        <sz val="10"/>
        <rFont val="WenQuanYi Zen Hei"/>
        <family val="2"/>
      </rPr>
      <t xml:space="preserve">대우 김용 상무</t>
    </r>
    <r>
      <rPr>
        <sz val="10"/>
        <rFont val="Arial"/>
        <family val="0"/>
        <charset val="1"/>
      </rPr>
      <t xml:space="preserve">(70), HJ</t>
    </r>
    <r>
      <rPr>
        <sz val="10"/>
        <rFont val="WenQuanYi Zen Hei"/>
        <family val="2"/>
      </rPr>
      <t xml:space="preserve">중공업 정회경 상무</t>
    </r>
    <r>
      <rPr>
        <sz val="10"/>
        <rFont val="Arial"/>
        <family val="0"/>
        <charset val="1"/>
      </rPr>
      <t xml:space="preserve">(71), GS </t>
    </r>
    <r>
      <rPr>
        <sz val="10"/>
        <rFont val="WenQuanYi Zen Hei"/>
        <family val="2"/>
      </rPr>
      <t xml:space="preserve">성중규 부장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한화 송원영 부장</t>
    </r>
    <r>
      <rPr>
        <sz val="10"/>
        <rFont val="Arial"/>
        <family val="0"/>
        <charset val="1"/>
      </rPr>
      <t xml:space="preserve">(75), </t>
    </r>
    <r>
      <rPr>
        <sz val="10"/>
        <rFont val="WenQuanYi Zen Hei"/>
        <family val="2"/>
      </rPr>
      <t xml:space="preserve">한양 이유한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태영 박석현 부장</t>
    </r>
    <r>
      <rPr>
        <sz val="10"/>
        <rFont val="Arial"/>
        <family val="0"/>
        <charset val="1"/>
      </rPr>
      <t xml:space="preserve">(78), </t>
    </r>
    <r>
      <rPr>
        <sz val="10"/>
        <rFont val="WenQuanYi Zen Hei"/>
        <family val="2"/>
      </rPr>
      <t xml:space="preserve">우미 배성민 부장</t>
    </r>
    <r>
      <rPr>
        <sz val="10"/>
        <rFont val="Arial"/>
        <family val="0"/>
        <charset val="1"/>
      </rPr>
      <t xml:space="preserve">(80), </t>
    </r>
    <r>
      <rPr>
        <sz val="10"/>
        <rFont val="WenQuanYi Zen Hei"/>
        <family val="2"/>
      </rPr>
      <t xml:space="preserve">금백 이규호 차장</t>
    </r>
    <r>
      <rPr>
        <sz val="10"/>
        <rFont val="Arial"/>
        <family val="0"/>
        <charset val="1"/>
      </rPr>
      <t xml:space="preserve">(81), </t>
    </r>
    <r>
      <rPr>
        <sz val="10"/>
        <rFont val="WenQuanYi Zen Hei"/>
        <family val="2"/>
      </rPr>
      <t xml:space="preserve">동부 김대건 차장</t>
    </r>
    <r>
      <rPr>
        <sz val="10"/>
        <rFont val="Arial"/>
        <family val="0"/>
        <charset val="1"/>
      </rPr>
      <t xml:space="preserve">(83), </t>
    </r>
    <r>
      <rPr>
        <sz val="10"/>
        <rFont val="WenQuanYi Zen Hei"/>
        <family val="2"/>
      </rPr>
      <t xml:space="preserve">현대 이호창 책임매니저</t>
    </r>
    <r>
      <rPr>
        <sz val="10"/>
        <rFont val="Arial"/>
        <family val="0"/>
        <charset val="1"/>
      </rPr>
      <t xml:space="preserve">(84)</t>
    </r>
  </si>
  <si>
    <r>
      <rPr>
        <sz val="10"/>
        <rFont val="WenQuanYi Zen Hei"/>
        <family val="2"/>
      </rPr>
      <t xml:space="preserve">진흥 김준기 상무</t>
    </r>
    <r>
      <rPr>
        <sz val="10"/>
        <rFont val="Arial"/>
        <family val="0"/>
        <charset val="1"/>
      </rPr>
      <t xml:space="preserve">(72), HJ</t>
    </r>
    <r>
      <rPr>
        <sz val="10"/>
        <rFont val="WenQuanYi Zen Hei"/>
        <family val="2"/>
      </rPr>
      <t xml:space="preserve">중공업 김성용 부장</t>
    </r>
    <r>
      <rPr>
        <sz val="10"/>
        <rFont val="Arial"/>
        <family val="0"/>
        <charset val="1"/>
      </rPr>
      <t xml:space="preserve">(74), </t>
    </r>
    <r>
      <rPr>
        <sz val="10"/>
        <rFont val="WenQuanYi Zen Hei"/>
        <family val="2"/>
      </rPr>
      <t xml:space="preserve">진흥 조성필 차장</t>
    </r>
    <r>
      <rPr>
        <sz val="10"/>
        <rFont val="Arial"/>
        <family val="0"/>
        <charset val="1"/>
      </rPr>
      <t xml:space="preserve">(77), HJ</t>
    </r>
    <r>
      <rPr>
        <sz val="10"/>
        <rFont val="WenQuanYi Zen Hei"/>
        <family val="2"/>
      </rPr>
      <t xml:space="preserve">중공업 이범석 부장</t>
    </r>
    <r>
      <rPr>
        <sz val="10"/>
        <rFont val="Arial"/>
        <family val="0"/>
        <charset val="1"/>
      </rPr>
      <t xml:space="preserve">(81), </t>
    </r>
    <r>
      <rPr>
        <sz val="10"/>
        <rFont val="WenQuanYi Zen Hei"/>
        <family val="2"/>
      </rPr>
      <t xml:space="preserve">계룡 권세호 차장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</si>
  <si>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포스코 박종진 전무</t>
    </r>
    <r>
      <rPr>
        <sz val="10"/>
        <rFont val="Arial"/>
        <family val="0"/>
        <charset val="1"/>
      </rPr>
      <t xml:space="preserve">(66), </t>
    </r>
    <r>
      <rPr>
        <sz val="10"/>
        <rFont val="WenQuanYi Zen Hei"/>
        <family val="2"/>
      </rPr>
      <t xml:space="preserve">코오롱 신윤선 상무</t>
    </r>
    <r>
      <rPr>
        <sz val="10"/>
        <rFont val="Arial"/>
        <family val="0"/>
        <charset val="1"/>
      </rPr>
      <t xml:space="preserve">(73), DL</t>
    </r>
    <r>
      <rPr>
        <sz val="10"/>
        <rFont val="WenQuanYi Zen Hei"/>
        <family val="2"/>
      </rPr>
      <t xml:space="preserve">이앤씨 박창용 실장</t>
    </r>
    <r>
      <rPr>
        <sz val="10"/>
        <rFont val="Arial"/>
        <family val="0"/>
        <charset val="1"/>
      </rPr>
      <t xml:space="preserve">(74), </t>
    </r>
    <r>
      <rPr>
        <sz val="10"/>
        <rFont val="WenQuanYi Zen Hei"/>
        <family val="2"/>
      </rPr>
      <t xml:space="preserve">동부 김성호 부장</t>
    </r>
    <r>
      <rPr>
        <sz val="10"/>
        <rFont val="Arial"/>
        <family val="0"/>
        <charset val="1"/>
      </rPr>
      <t xml:space="preserve">(78)</t>
    </r>
  </si>
  <si>
    <r>
      <rPr>
        <sz val="10"/>
        <rFont val="WenQuanYi Zen Hei"/>
        <family val="2"/>
      </rPr>
      <t xml:space="preserve">금강 위현복 상무</t>
    </r>
    <r>
      <rPr>
        <sz val="10"/>
        <rFont val="Arial"/>
        <family val="0"/>
        <charset val="1"/>
      </rPr>
      <t xml:space="preserve">(70), </t>
    </r>
    <r>
      <rPr>
        <sz val="10"/>
        <rFont val="WenQuanYi Zen Hei"/>
        <family val="2"/>
      </rPr>
      <t xml:space="preserve">우미 김형일 전무</t>
    </r>
    <r>
      <rPr>
        <sz val="10"/>
        <rFont val="Arial"/>
        <family val="0"/>
        <charset val="1"/>
      </rPr>
      <t xml:space="preserve">(70), </t>
    </r>
    <r>
      <rPr>
        <sz val="10"/>
        <rFont val="WenQuanYi Zen Hei"/>
        <family val="2"/>
      </rPr>
      <t xml:space="preserve">우미 김철호 상무</t>
    </r>
    <r>
      <rPr>
        <sz val="10"/>
        <rFont val="Arial"/>
        <family val="0"/>
        <charset val="1"/>
      </rPr>
      <t xml:space="preserve">(75), </t>
    </r>
    <r>
      <rPr>
        <sz val="10"/>
        <rFont val="WenQuanYi Zen Hei"/>
        <family val="2"/>
      </rPr>
      <t xml:space="preserve">극동 이진만 부장</t>
    </r>
    <r>
      <rPr>
        <sz val="10"/>
        <rFont val="Arial"/>
        <family val="0"/>
        <charset val="1"/>
      </rPr>
      <t xml:space="preserve">(76)</t>
    </r>
  </si>
  <si>
    <r>
      <rPr>
        <sz val="10"/>
        <rFont val="WenQuanYi Zen Hei"/>
        <family val="2"/>
      </rPr>
      <t xml:space="preserve">남광 남도현 상무</t>
    </r>
    <r>
      <rPr>
        <sz val="10"/>
        <rFont val="Arial"/>
        <family val="0"/>
        <charset val="1"/>
      </rPr>
      <t xml:space="preserve">(73), GS </t>
    </r>
    <r>
      <rPr>
        <sz val="10"/>
        <rFont val="WenQuanYi Zen Hei"/>
        <family val="2"/>
      </rPr>
      <t xml:space="preserve">박재범 부장</t>
    </r>
    <r>
      <rPr>
        <sz val="10"/>
        <rFont val="Arial"/>
        <family val="0"/>
        <charset val="1"/>
      </rPr>
      <t xml:space="preserve">(74), </t>
    </r>
    <r>
      <rPr>
        <sz val="10"/>
        <rFont val="WenQuanYi Zen Hei"/>
        <family val="2"/>
      </rPr>
      <t xml:space="preserve">금호 이경은 수석매니저</t>
    </r>
    <r>
      <rPr>
        <sz val="10"/>
        <rFont val="Arial"/>
        <family val="0"/>
        <charset val="1"/>
      </rPr>
      <t xml:space="preserve">(81), DL</t>
    </r>
    <r>
      <rPr>
        <sz val="10"/>
        <rFont val="WenQuanYi Zen Hei"/>
        <family val="2"/>
      </rPr>
      <t xml:space="preserve">건설 하동우 부장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</si>
  <si>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한신 김용진 부장</t>
    </r>
    <r>
      <rPr>
        <sz val="10"/>
        <rFont val="Arial"/>
        <family val="0"/>
        <charset val="1"/>
      </rPr>
      <t xml:space="preserve">(73), GS </t>
    </r>
    <r>
      <rPr>
        <sz val="10"/>
        <rFont val="WenQuanYi Zen Hei"/>
        <family val="2"/>
      </rPr>
      <t xml:space="preserve">정가람 차장</t>
    </r>
    <r>
      <rPr>
        <sz val="10"/>
        <rFont val="Arial"/>
        <family val="0"/>
        <charset val="1"/>
      </rPr>
      <t xml:space="preserve">(84), </t>
    </r>
    <r>
      <rPr>
        <sz val="10"/>
        <rFont val="WenQuanYi Zen Hei"/>
        <family val="2"/>
      </rPr>
      <t xml:space="preserve">한화 하현성 차장</t>
    </r>
    <r>
      <rPr>
        <sz val="10"/>
        <rFont val="Arial"/>
        <family val="0"/>
        <charset val="1"/>
      </rPr>
      <t xml:space="preserve">(84), HJ</t>
    </r>
    <r>
      <rPr>
        <sz val="10"/>
        <rFont val="WenQuanYi Zen Hei"/>
        <family val="2"/>
      </rPr>
      <t xml:space="preserve">중공업 이상범 과장</t>
    </r>
    <r>
      <rPr>
        <sz val="10"/>
        <rFont val="Arial"/>
        <family val="0"/>
        <charset val="1"/>
      </rPr>
      <t xml:space="preserve">(85)</t>
    </r>
  </si>
  <si>
    <r>
      <rPr>
        <sz val="10"/>
        <rFont val="WenQuanYi Zen Hei"/>
        <family val="2"/>
      </rPr>
      <t xml:space="preserve">한양 조훈 상무</t>
    </r>
    <r>
      <rPr>
        <sz val="10"/>
        <rFont val="Arial"/>
        <family val="0"/>
        <charset val="1"/>
      </rPr>
      <t xml:space="preserve">(69), </t>
    </r>
    <r>
      <rPr>
        <sz val="10"/>
        <rFont val="WenQuanYi Zen Hei"/>
        <family val="2"/>
      </rPr>
      <t xml:space="preserve">쌍용 전현도 차장</t>
    </r>
    <r>
      <rPr>
        <sz val="10"/>
        <rFont val="Arial"/>
        <family val="0"/>
        <charset val="1"/>
      </rPr>
      <t xml:space="preserve">(81), DL</t>
    </r>
    <r>
      <rPr>
        <sz val="10"/>
        <rFont val="WenQuanYi Zen Hei"/>
        <family val="2"/>
      </rPr>
      <t xml:space="preserve">이앤씨 이석현 부장</t>
    </r>
    <r>
      <rPr>
        <sz val="10"/>
        <rFont val="Arial"/>
        <family val="0"/>
        <charset val="1"/>
      </rPr>
      <t xml:space="preserve">(82), </t>
    </r>
    <r>
      <rPr>
        <sz val="10"/>
        <rFont val="WenQuanYi Zen Hei"/>
        <family val="2"/>
      </rPr>
      <t xml:space="preserve">이수 김종욱 차장</t>
    </r>
    <r>
      <rPr>
        <sz val="10"/>
        <rFont val="Arial"/>
        <family val="0"/>
        <charset val="1"/>
      </rPr>
      <t xml:space="preserve">(83)</t>
    </r>
  </si>
  <si>
    <r>
      <rPr>
        <sz val="10"/>
        <rFont val="WenQuanYi Zen Hei"/>
        <family val="2"/>
      </rPr>
      <t xml:space="preserve">신동아 최경식 상무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동부 손규홍 부장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서한 길동영 부장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대보 정영호 차장</t>
    </r>
    <r>
      <rPr>
        <sz val="10"/>
        <rFont val="Arial"/>
        <family val="0"/>
        <charset val="1"/>
      </rPr>
      <t xml:space="preserve">(84)</t>
    </r>
  </si>
  <si>
    <r>
      <rPr>
        <sz val="10"/>
        <rFont val="WenQuanYi Zen Hei"/>
        <family val="2"/>
      </rPr>
      <t xml:space="preserve">극동 박한섭 전무</t>
    </r>
    <r>
      <rPr>
        <sz val="10"/>
        <rFont val="Arial"/>
        <family val="0"/>
        <charset val="1"/>
      </rPr>
      <t xml:space="preserve">(73), DL</t>
    </r>
    <r>
      <rPr>
        <sz val="10"/>
        <rFont val="WenQuanYi Zen Hei"/>
        <family val="2"/>
      </rPr>
      <t xml:space="preserve">이앤씨 송영찬 부장</t>
    </r>
    <r>
      <rPr>
        <sz val="10"/>
        <rFont val="Arial"/>
        <family val="0"/>
        <charset val="1"/>
      </rPr>
      <t xml:space="preserve">(77), </t>
    </r>
    <r>
      <rPr>
        <sz val="10"/>
        <rFont val="WenQuanYi Zen Hei"/>
        <family val="2"/>
      </rPr>
      <t xml:space="preserve">태영 백건구 차장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</si>
  <si>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이수 최병훈 이사</t>
    </r>
    <r>
      <rPr>
        <sz val="10"/>
        <rFont val="Arial"/>
        <family val="0"/>
        <charset val="1"/>
      </rPr>
      <t xml:space="preserve">(75), </t>
    </r>
    <r>
      <rPr>
        <sz val="10"/>
        <rFont val="WenQuanYi Zen Hei"/>
        <family val="2"/>
      </rPr>
      <t xml:space="preserve">대보 차대희 부장</t>
    </r>
    <r>
      <rPr>
        <sz val="10"/>
        <rFont val="Arial"/>
        <family val="0"/>
        <charset val="1"/>
      </rPr>
      <t xml:space="preserve">(80), </t>
    </r>
    <r>
      <rPr>
        <sz val="10"/>
        <rFont val="WenQuanYi Zen Hei"/>
        <family val="2"/>
      </rPr>
      <t xml:space="preserve">한신 이상혁 차장</t>
    </r>
    <r>
      <rPr>
        <sz val="10"/>
        <rFont val="Arial"/>
        <family val="0"/>
        <charset val="1"/>
      </rPr>
      <t xml:space="preserve">(84)</t>
    </r>
  </si>
  <si>
    <r>
      <rPr>
        <sz val="10"/>
        <rFont val="Arial"/>
        <family val="0"/>
        <charset val="1"/>
      </rPr>
      <t xml:space="preserve">DL</t>
    </r>
    <r>
      <rPr>
        <sz val="10"/>
        <rFont val="WenQuanYi Zen Hei"/>
        <family val="2"/>
      </rPr>
      <t xml:space="preserve">이앤씨 박은철 상무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대우 박민혁 책임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신동아 이동하 부장</t>
    </r>
    <r>
      <rPr>
        <sz val="10"/>
        <rFont val="Arial"/>
        <family val="0"/>
        <charset val="1"/>
      </rPr>
      <t xml:space="preserve">(78)</t>
    </r>
  </si>
  <si>
    <r>
      <rPr>
        <sz val="10"/>
        <rFont val="WenQuanYi Zen Hei"/>
        <family val="2"/>
      </rPr>
      <t xml:space="preserve">금호 신재혁 전무</t>
    </r>
    <r>
      <rPr>
        <sz val="10"/>
        <rFont val="Arial"/>
        <family val="0"/>
        <charset val="1"/>
      </rPr>
      <t xml:space="preserve">(70), </t>
    </r>
    <r>
      <rPr>
        <sz val="10"/>
        <rFont val="WenQuanYi Zen Hei"/>
        <family val="2"/>
      </rPr>
      <t xml:space="preserve">금호 허림 수석매니저</t>
    </r>
    <r>
      <rPr>
        <sz val="10"/>
        <rFont val="Arial"/>
        <family val="0"/>
        <charset val="1"/>
      </rPr>
      <t xml:space="preserve">(80), GS </t>
    </r>
    <r>
      <rPr>
        <sz val="10"/>
        <rFont val="WenQuanYi Zen Hei"/>
        <family val="2"/>
      </rPr>
      <t xml:space="preserve">서해두 부장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</si>
  <si>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계룡 사용기 부장</t>
    </r>
    <r>
      <rPr>
        <sz val="10"/>
        <rFont val="Arial"/>
        <family val="0"/>
        <charset val="1"/>
      </rPr>
      <t xml:space="preserve">(79), </t>
    </r>
    <r>
      <rPr>
        <sz val="10"/>
        <rFont val="WenQuanYi Zen Hei"/>
        <family val="2"/>
      </rPr>
      <t xml:space="preserve">계룡 오병한 부장</t>
    </r>
    <r>
      <rPr>
        <sz val="10"/>
        <rFont val="Arial"/>
        <family val="0"/>
        <charset val="1"/>
      </rPr>
      <t xml:space="preserve">(80), DL</t>
    </r>
    <r>
      <rPr>
        <sz val="10"/>
        <rFont val="WenQuanYi Zen Hei"/>
        <family val="2"/>
      </rPr>
      <t xml:space="preserve">이앤씨 정태왕 부장</t>
    </r>
    <r>
      <rPr>
        <sz val="10"/>
        <rFont val="Arial"/>
        <family val="0"/>
        <charset val="1"/>
      </rPr>
      <t xml:space="preserve">(80)</t>
    </r>
  </si>
  <si>
    <r>
      <rPr>
        <sz val="10"/>
        <rFont val="WenQuanYi Zen Hei"/>
        <family val="2"/>
      </rPr>
      <t xml:space="preserve">태영 정진형 전무</t>
    </r>
    <r>
      <rPr>
        <sz val="10"/>
        <rFont val="Arial"/>
        <family val="0"/>
        <charset val="1"/>
      </rPr>
      <t xml:space="preserve">(66), </t>
    </r>
    <r>
      <rPr>
        <sz val="10"/>
        <rFont val="WenQuanYi Zen Hei"/>
        <family val="2"/>
      </rPr>
      <t xml:space="preserve">코오롱 권희선 차장</t>
    </r>
    <r>
      <rPr>
        <sz val="10"/>
        <rFont val="Arial"/>
        <family val="0"/>
        <charset val="1"/>
      </rPr>
      <t xml:space="preserve">(83)</t>
    </r>
  </si>
  <si>
    <r>
      <rPr>
        <sz val="10"/>
        <rFont val="WenQuanYi Zen Hei"/>
        <family val="2"/>
      </rPr>
      <t xml:space="preserve">동부 김희석 전무</t>
    </r>
    <r>
      <rPr>
        <sz val="10"/>
        <rFont val="Arial"/>
        <family val="0"/>
        <charset val="1"/>
      </rPr>
      <t xml:space="preserve">(70), </t>
    </r>
    <r>
      <rPr>
        <sz val="10"/>
        <rFont val="WenQuanYi Zen Hei"/>
        <family val="2"/>
      </rPr>
      <t xml:space="preserve">동부 김종표 상무</t>
    </r>
    <r>
      <rPr>
        <sz val="10"/>
        <rFont val="Arial"/>
        <family val="0"/>
        <charset val="1"/>
      </rPr>
      <t xml:space="preserve">(73)</t>
    </r>
  </si>
  <si>
    <r>
      <rPr>
        <sz val="10"/>
        <rFont val="Arial"/>
        <family val="0"/>
        <charset val="1"/>
      </rPr>
      <t xml:space="preserve">HJ</t>
    </r>
    <r>
      <rPr>
        <sz val="10"/>
        <rFont val="WenQuanYi Zen Hei"/>
        <family val="2"/>
      </rPr>
      <t xml:space="preserve">중공업 김건용 상무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현대</t>
    </r>
    <r>
      <rPr>
        <sz val="10"/>
        <rFont val="Arial"/>
        <family val="0"/>
        <charset val="1"/>
      </rPr>
      <t xml:space="preserve">ENG </t>
    </r>
    <r>
      <rPr>
        <sz val="10"/>
        <rFont val="WenQuanYi Zen Hei"/>
        <family val="2"/>
      </rPr>
      <t xml:space="preserve">이진혁 차장</t>
    </r>
    <r>
      <rPr>
        <sz val="10"/>
        <rFont val="Arial"/>
        <family val="0"/>
        <charset val="1"/>
      </rPr>
      <t xml:space="preserve">(83)</t>
    </r>
  </si>
  <si>
    <r>
      <rPr>
        <sz val="10"/>
        <rFont val="WenQuanYi Zen Hei"/>
        <family val="2"/>
      </rPr>
      <t xml:space="preserve">대우 김흥락 책임</t>
    </r>
    <r>
      <rPr>
        <sz val="10"/>
        <rFont val="Arial"/>
        <family val="0"/>
        <charset val="1"/>
      </rPr>
      <t xml:space="preserve">(79), </t>
    </r>
    <r>
      <rPr>
        <sz val="10"/>
        <rFont val="WenQuanYi Zen Hei"/>
        <family val="2"/>
      </rPr>
      <t xml:space="preserve">한화 차원재 차장</t>
    </r>
    <r>
      <rPr>
        <sz val="10"/>
        <rFont val="Arial"/>
        <family val="0"/>
        <charset val="1"/>
      </rPr>
      <t xml:space="preserve">(83)</t>
    </r>
  </si>
  <si>
    <r>
      <rPr>
        <sz val="10"/>
        <rFont val="WenQuanYi Zen Hei"/>
        <family val="2"/>
      </rPr>
      <t xml:space="preserve">대보 손익창 상무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대보 하승훈 상무</t>
    </r>
    <r>
      <rPr>
        <sz val="10"/>
        <rFont val="Arial"/>
        <family val="0"/>
        <charset val="1"/>
      </rPr>
      <t xml:space="preserve">(76)</t>
    </r>
  </si>
  <si>
    <r>
      <rPr>
        <sz val="10"/>
        <rFont val="WenQuanYi Zen Hei"/>
        <family val="2"/>
      </rPr>
      <t xml:space="preserve">계룡 김동식 부장</t>
    </r>
    <r>
      <rPr>
        <sz val="10"/>
        <rFont val="Arial"/>
        <family val="0"/>
        <charset val="1"/>
      </rPr>
      <t xml:space="preserve">(76), </t>
    </r>
    <r>
      <rPr>
        <sz val="10"/>
        <rFont val="WenQuanYi Zen Hei"/>
        <family val="2"/>
      </rPr>
      <t xml:space="preserve">코오롱 신재영 차장</t>
    </r>
    <r>
      <rPr>
        <sz val="10"/>
        <rFont val="Arial"/>
        <family val="0"/>
        <charset val="1"/>
      </rPr>
      <t xml:space="preserve">(83)</t>
    </r>
  </si>
  <si>
    <r>
      <rPr>
        <sz val="10"/>
        <rFont val="WenQuanYi Zen Hei"/>
        <family val="2"/>
      </rPr>
      <t xml:space="preserve">서희 임흥식 전무</t>
    </r>
    <r>
      <rPr>
        <sz val="10"/>
        <rFont val="Arial"/>
        <family val="0"/>
        <charset val="1"/>
      </rPr>
      <t xml:space="preserve">(70), </t>
    </r>
    <r>
      <rPr>
        <sz val="10"/>
        <rFont val="WenQuanYi Zen Hei"/>
        <family val="2"/>
      </rPr>
      <t xml:space="preserve">서한 김성우 이사</t>
    </r>
    <r>
      <rPr>
        <sz val="10"/>
        <rFont val="Arial"/>
        <family val="0"/>
        <charset val="1"/>
      </rPr>
      <t xml:space="preserve">(73)</t>
    </r>
  </si>
  <si>
    <r>
      <rPr>
        <sz val="10"/>
        <rFont val="WenQuanYi Zen Hei"/>
        <family val="2"/>
      </rPr>
      <t xml:space="preserve">계룡 송원한 차장</t>
    </r>
    <r>
      <rPr>
        <sz val="10"/>
        <rFont val="Arial"/>
        <family val="0"/>
        <charset val="1"/>
      </rPr>
      <t xml:space="preserve">(82), GS </t>
    </r>
    <r>
      <rPr>
        <sz val="10"/>
        <rFont val="WenQuanYi Zen Hei"/>
        <family val="2"/>
      </rPr>
      <t xml:space="preserve">김태우 부장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</si>
  <si>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Arial"/>
        <family val="0"/>
        <charset val="1"/>
      </rPr>
      <t xml:space="preserve">HJ</t>
    </r>
    <r>
      <rPr>
        <sz val="10"/>
        <rFont val="WenQuanYi Zen Hei"/>
        <family val="2"/>
      </rPr>
      <t xml:space="preserve">중공업 라영철 차장</t>
    </r>
    <r>
      <rPr>
        <sz val="10"/>
        <rFont val="Arial"/>
        <family val="0"/>
        <charset val="1"/>
      </rPr>
      <t xml:space="preserve">(78), </t>
    </r>
    <r>
      <rPr>
        <sz val="10"/>
        <rFont val="WenQuanYi Zen Hei"/>
        <family val="2"/>
      </rPr>
      <t xml:space="preserve">금호 김수희 수석매니저</t>
    </r>
    <r>
      <rPr>
        <sz val="10"/>
        <rFont val="Arial"/>
        <family val="0"/>
        <charset val="1"/>
      </rPr>
      <t xml:space="preserve">(81)</t>
    </r>
  </si>
  <si>
    <r>
      <rPr>
        <sz val="10"/>
        <rFont val="WenQuanYi Zen Hei"/>
        <family val="2"/>
      </rPr>
      <t xml:space="preserve">계룡 강희관 상무</t>
    </r>
    <r>
      <rPr>
        <sz val="10"/>
        <rFont val="Arial"/>
        <family val="0"/>
        <charset val="1"/>
      </rPr>
      <t xml:space="preserve">(72), </t>
    </r>
    <r>
      <rPr>
        <sz val="10"/>
        <rFont val="WenQuanYi Zen Hei"/>
        <family val="2"/>
      </rPr>
      <t xml:space="preserve">금호 강훈모 수석매니저</t>
    </r>
    <r>
      <rPr>
        <sz val="10"/>
        <rFont val="Arial"/>
        <family val="0"/>
        <charset val="1"/>
      </rPr>
      <t xml:space="preserve">(79)</t>
    </r>
  </si>
  <si>
    <r>
      <rPr>
        <sz val="10"/>
        <rFont val="Arial"/>
        <family val="0"/>
        <charset val="1"/>
      </rPr>
      <t xml:space="preserve">KR </t>
    </r>
    <r>
      <rPr>
        <sz val="10"/>
        <rFont val="WenQuanYi Zen Hei"/>
        <family val="2"/>
      </rPr>
      <t xml:space="preserve">조판철 상무</t>
    </r>
    <r>
      <rPr>
        <sz val="10"/>
        <rFont val="Arial"/>
        <family val="0"/>
        <charset val="1"/>
      </rPr>
      <t xml:space="preserve">(66), </t>
    </r>
    <r>
      <rPr>
        <sz val="10"/>
        <rFont val="WenQuanYi Zen Hei"/>
        <family val="2"/>
      </rPr>
      <t xml:space="preserve">계룡 전병규 상무</t>
    </r>
    <r>
      <rPr>
        <sz val="10"/>
        <rFont val="Arial"/>
        <family val="0"/>
        <charset val="1"/>
      </rPr>
      <t xml:space="preserve">(71)</t>
    </r>
  </si>
  <si>
    <r>
      <rPr>
        <sz val="10"/>
        <rFont val="Arial"/>
        <family val="0"/>
        <charset val="1"/>
      </rPr>
      <t xml:space="preserve">DL</t>
    </r>
    <r>
      <rPr>
        <sz val="10"/>
        <rFont val="WenQuanYi Zen Hei"/>
        <family val="2"/>
      </rPr>
      <t xml:space="preserve">이앤씨 안홍주 부장</t>
    </r>
    <r>
      <rPr>
        <sz val="10"/>
        <rFont val="Arial"/>
        <family val="0"/>
        <charset val="1"/>
      </rPr>
      <t xml:space="preserve">(79), </t>
    </r>
    <r>
      <rPr>
        <sz val="10"/>
        <rFont val="WenQuanYi Zen Hei"/>
        <family val="2"/>
      </rPr>
      <t xml:space="preserve">동부 정훈기 차장</t>
    </r>
    <r>
      <rPr>
        <sz val="10"/>
        <rFont val="Arial"/>
        <family val="0"/>
        <charset val="1"/>
      </rPr>
      <t xml:space="preserve">(83)</t>
    </r>
  </si>
  <si>
    <r>
      <rPr>
        <sz val="10"/>
        <rFont val="WenQuanYi Zen Hei"/>
        <family val="2"/>
      </rPr>
      <t xml:space="preserve">한화 박영철 부장</t>
    </r>
    <r>
      <rPr>
        <sz val="10"/>
        <rFont val="Arial"/>
        <family val="0"/>
        <charset val="1"/>
      </rPr>
      <t xml:space="preserve">(73), </t>
    </r>
    <r>
      <rPr>
        <sz val="10"/>
        <rFont val="WenQuanYi Zen Hei"/>
        <family val="2"/>
      </rPr>
      <t xml:space="preserve">금강 안현민 차장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</si>
  <si>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제일 김재승 차장</t>
    </r>
    <r>
      <rPr>
        <sz val="10"/>
        <rFont val="Arial"/>
        <family val="0"/>
        <charset val="1"/>
      </rPr>
      <t xml:space="preserve">(83)</t>
    </r>
  </si>
  <si>
    <r>
      <rPr>
        <sz val="10"/>
        <rFont val="WenQuanYi Zen Hei"/>
        <family val="2"/>
      </rPr>
      <t xml:space="preserve">태영 우기수 상무</t>
    </r>
    <r>
      <rPr>
        <sz val="10"/>
        <rFont val="Arial"/>
        <family val="0"/>
        <charset val="1"/>
      </rPr>
      <t xml:space="preserve">(72)</t>
    </r>
  </si>
  <si>
    <r>
      <rPr>
        <sz val="10"/>
        <rFont val="Arial"/>
        <family val="0"/>
        <charset val="1"/>
      </rPr>
      <t xml:space="preserve">HJ</t>
    </r>
    <r>
      <rPr>
        <sz val="10"/>
        <rFont val="WenQuanYi Zen Hei"/>
        <family val="2"/>
      </rPr>
      <t xml:space="preserve">중공업 김준의 부장</t>
    </r>
    <r>
      <rPr>
        <sz val="10"/>
        <rFont val="Arial"/>
        <family val="0"/>
        <charset val="1"/>
      </rPr>
      <t xml:space="preserve">(74)</t>
    </r>
  </si>
  <si>
    <r>
      <rPr>
        <sz val="10"/>
        <rFont val="WenQuanYi Zen Hei"/>
        <family val="2"/>
      </rPr>
      <t xml:space="preserve">한양 김현욱</t>
    </r>
    <r>
      <rPr>
        <sz val="10"/>
        <rFont val="Arial"/>
        <family val="0"/>
        <charset val="1"/>
      </rPr>
      <t xml:space="preserve">(78)</t>
    </r>
  </si>
  <si>
    <r>
      <rPr>
        <sz val="10"/>
        <rFont val="WenQuanYi Zen Hei"/>
        <family val="2"/>
      </rPr>
      <t xml:space="preserve">금호 김찬식 상무</t>
    </r>
    <r>
      <rPr>
        <sz val="10"/>
        <rFont val="Arial"/>
        <family val="0"/>
        <charset val="1"/>
      </rPr>
      <t xml:space="preserve">(76)</t>
    </r>
  </si>
  <si>
    <r>
      <rPr>
        <sz val="10"/>
        <rFont val="WenQuanYi Zen Hei"/>
        <family val="2"/>
      </rPr>
      <t xml:space="preserve">진흥 김동현 부장</t>
    </r>
    <r>
      <rPr>
        <sz val="10"/>
        <rFont val="Arial"/>
        <family val="0"/>
        <charset val="1"/>
      </rPr>
      <t xml:space="preserve">(76)</t>
    </r>
  </si>
  <si>
    <r>
      <rPr>
        <sz val="10"/>
        <rFont val="Arial"/>
        <family val="0"/>
        <charset val="1"/>
      </rPr>
      <t xml:space="preserve">KR </t>
    </r>
    <r>
      <rPr>
        <sz val="10"/>
        <rFont val="WenQuanYi Zen Hei"/>
        <family val="2"/>
      </rPr>
      <t xml:space="preserve">차유진 부장</t>
    </r>
    <r>
      <rPr>
        <sz val="10"/>
        <rFont val="Arial"/>
        <family val="0"/>
        <charset val="1"/>
      </rPr>
      <t xml:space="preserve">(79)</t>
    </r>
  </si>
  <si>
    <r>
      <rPr>
        <sz val="10"/>
        <rFont val="WenQuanYi Zen Hei"/>
        <family val="2"/>
      </rPr>
      <t xml:space="preserve">한양 임재경 차장</t>
    </r>
    <r>
      <rPr>
        <sz val="10"/>
        <rFont val="Arial"/>
        <family val="0"/>
        <charset val="1"/>
      </rPr>
      <t xml:space="preserve">(81)</t>
    </r>
  </si>
  <si>
    <r>
      <rPr>
        <sz val="10"/>
        <rFont val="WenQuanYi Zen Hei"/>
        <family val="2"/>
      </rPr>
      <t xml:space="preserve">극동 차길환 차장</t>
    </r>
    <r>
      <rPr>
        <sz val="10"/>
        <rFont val="Arial"/>
        <family val="0"/>
        <charset val="1"/>
      </rPr>
      <t xml:space="preserve">(82)</t>
    </r>
  </si>
  <si>
    <r>
      <rPr>
        <sz val="10"/>
        <rFont val="WenQuanYi Zen Hei"/>
        <family val="2"/>
      </rPr>
      <t xml:space="preserve">대보 김홍석 부장</t>
    </r>
    <r>
      <rPr>
        <sz val="10"/>
        <rFont val="Arial"/>
        <family val="0"/>
        <charset val="1"/>
      </rPr>
      <t xml:space="preserve">(76)</t>
    </r>
  </si>
  <si>
    <r>
      <rPr>
        <sz val="10"/>
        <rFont val="WenQuanYi Zen Hei"/>
        <family val="2"/>
      </rPr>
      <t xml:space="preserve">동부 정필교 상무</t>
    </r>
    <r>
      <rPr>
        <sz val="10"/>
        <rFont val="Arial"/>
        <family val="0"/>
        <charset val="1"/>
      </rPr>
      <t xml:space="preserve">(73)</t>
    </r>
  </si>
  <si>
    <r>
      <rPr>
        <sz val="10"/>
        <rFont val="WenQuanYi Zen Hei"/>
        <family val="2"/>
      </rPr>
      <t xml:space="preserve">대보 박정석 차장</t>
    </r>
    <r>
      <rPr>
        <sz val="10"/>
        <rFont val="Arial"/>
        <family val="0"/>
        <charset val="1"/>
      </rPr>
      <t xml:space="preserve">(81)</t>
    </r>
  </si>
  <si>
    <r>
      <rPr>
        <sz val="10"/>
        <rFont val="WenQuanYi Zen Hei"/>
        <family val="2"/>
      </rPr>
      <t xml:space="preserve">남광 박주현 부장</t>
    </r>
    <r>
      <rPr>
        <sz val="10"/>
        <rFont val="Arial"/>
        <family val="0"/>
        <charset val="1"/>
      </rPr>
      <t xml:space="preserve">(76)</t>
    </r>
  </si>
  <si>
    <r>
      <rPr>
        <sz val="10"/>
        <rFont val="WenQuanYi Zen Hei"/>
        <family val="2"/>
      </rPr>
      <t xml:space="preserve">남광 허정호 부사장</t>
    </r>
    <r>
      <rPr>
        <sz val="10"/>
        <rFont val="Arial"/>
        <family val="0"/>
        <charset val="1"/>
      </rPr>
      <t xml:space="preserve">(66)</t>
    </r>
  </si>
  <si>
    <r>
      <rPr>
        <sz val="10"/>
        <rFont val="WenQuanYi Zen Hei"/>
        <family val="2"/>
      </rPr>
      <t xml:space="preserve">금강 이준성 부장</t>
    </r>
    <r>
      <rPr>
        <sz val="10"/>
        <rFont val="Arial"/>
        <family val="0"/>
        <charset val="1"/>
      </rPr>
      <t xml:space="preserve">(75)</t>
    </r>
  </si>
  <si>
    <r>
      <rPr>
        <sz val="10"/>
        <rFont val="WenQuanYi Zen Hei"/>
        <family val="2"/>
      </rPr>
      <t xml:space="preserve">한신 조규용 상무</t>
    </r>
    <r>
      <rPr>
        <sz val="10"/>
        <rFont val="Arial"/>
        <family val="0"/>
        <charset val="1"/>
      </rPr>
      <t xml:space="preserve">(70)</t>
    </r>
  </si>
  <si>
    <r>
      <rPr>
        <sz val="10"/>
        <rFont val="WenQuanYi Zen Hei"/>
        <family val="2"/>
      </rPr>
      <t xml:space="preserve">대경 박용덕 부장</t>
    </r>
    <r>
      <rPr>
        <sz val="10"/>
        <rFont val="Arial"/>
        <family val="0"/>
        <charset val="1"/>
      </rPr>
      <t xml:space="preserve">(79)</t>
    </r>
  </si>
  <si>
    <r>
      <rPr>
        <sz val="10"/>
        <rFont val="WenQuanYi Zen Hei"/>
        <family val="2"/>
      </rPr>
      <t xml:space="preserve">신동아 안이태 부장</t>
    </r>
    <r>
      <rPr>
        <sz val="10"/>
        <rFont val="Arial"/>
        <family val="0"/>
        <charset val="1"/>
      </rPr>
      <t xml:space="preserve">(80)</t>
    </r>
  </si>
  <si>
    <r>
      <rPr>
        <sz val="10"/>
        <rFont val="WenQuanYi Zen Hei"/>
        <family val="2"/>
      </rPr>
      <t xml:space="preserve">금강 유태현 부장</t>
    </r>
    <r>
      <rPr>
        <sz val="10"/>
        <rFont val="Arial"/>
        <family val="0"/>
        <charset val="1"/>
      </rPr>
      <t xml:space="preserve">(77)</t>
    </r>
  </si>
  <si>
    <t xml:space="preserve">학교 미확인</t>
  </si>
  <si>
    <r>
      <rPr>
        <sz val="10"/>
        <rFont val="WenQuanYi Zen Hei"/>
        <family val="2"/>
      </rPr>
      <t xml:space="preserve">대보 양진영 부장</t>
    </r>
    <r>
      <rPr>
        <sz val="10"/>
        <rFont val="Arial"/>
        <family val="0"/>
        <charset val="1"/>
      </rPr>
      <t xml:space="preserve">(73) - </t>
    </r>
    <r>
      <rPr>
        <sz val="10"/>
        <rFont val="WenQuanYi Zen Hei"/>
        <family val="2"/>
      </rPr>
      <t xml:space="preserve">원자료 학교란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국방부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표기</t>
    </r>
  </si>
  <si>
    <t xml:space="preserve">원자료 대조 및 확인 필요 사항</t>
  </si>
  <si>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개 원자료를 인원 단위로 대조한 결과</t>
    </r>
  </si>
  <si>
    <t xml:space="preserve">구분</t>
  </si>
  <si>
    <r>
      <rPr>
        <b val="true"/>
        <sz val="10"/>
        <color rgb="FFFFFFFF"/>
        <rFont val="WenQuanYi Zen Hei"/>
        <family val="2"/>
      </rPr>
      <t xml:space="preserve">자료명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파일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</si>
  <si>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내용</t>
  </si>
  <si>
    <t xml:space="preserve">등재 건수</t>
  </si>
  <si>
    <t xml:space="preserve">①</t>
  </si>
  <si>
    <r>
      <rPr>
        <sz val="10"/>
        <rFont val="Arial"/>
        <family val="0"/>
        <charset val="1"/>
      </rPr>
      <t xml:space="preserve">5_6212839703138280666.xlsx (</t>
    </r>
    <r>
      <rPr>
        <sz val="10"/>
        <rFont val="WenQuanYi Zen Hei"/>
        <family val="2"/>
      </rPr>
      <t xml:space="preserve">가로 시트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</si>
  <si>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년생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연나이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성명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업체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직급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학교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</si>
  <si>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명</t>
    </r>
  </si>
  <si>
    <r>
      <rPr>
        <sz val="10"/>
        <rFont val="WenQuanYi Zen Hei"/>
        <family val="2"/>
      </rPr>
      <t xml:space="preserve">본 명부의 기본 자료</t>
    </r>
    <r>
      <rPr>
        <sz val="10"/>
        <rFont val="Arial"/>
        <family val="0"/>
        <charset val="1"/>
      </rPr>
      <t xml:space="preserve">. "</t>
    </r>
    <r>
      <rPr>
        <sz val="10"/>
        <rFont val="WenQuanYi Zen Hei"/>
        <family val="2"/>
      </rPr>
      <t xml:space="preserve">세로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시트는 구버전으로 판단하여 미사용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아래 참조</t>
    </r>
    <r>
      <rPr>
        <sz val="10"/>
        <rFont val="Arial"/>
        <family val="0"/>
        <charset val="1"/>
      </rPr>
      <t xml:space="preserve">).</t>
    </r>
  </si>
  <si>
    <t xml:space="preserve">②</t>
  </si>
  <si>
    <r>
      <rPr>
        <sz val="10"/>
        <rFont val="Arial"/>
        <family val="0"/>
        <charset val="1"/>
      </rPr>
      <t xml:space="preserve">public_architecture_full_updated (</t>
    </r>
    <r>
      <rPr>
        <sz val="10"/>
        <rFont val="WenQuanYi Zen Hei"/>
        <family val="2"/>
      </rPr>
      <t xml:space="preserve">현황 </t>
    </r>
    <r>
      <rPr>
        <sz val="10"/>
        <rFont val="Arial"/>
        <family val="0"/>
        <charset val="1"/>
      </rPr>
      <t xml:space="preserve">PDF)</t>
    </r>
  </si>
  <si>
    <r>
      <rPr>
        <sz val="10"/>
        <rFont val="WenQuanYi Zen Hei"/>
        <family val="2"/>
      </rPr>
      <t xml:space="preserve">공공건축 동종업계 현황</t>
    </r>
    <r>
      <rPr>
        <sz val="10"/>
        <rFont val="Arial"/>
        <family val="0"/>
        <charset val="1"/>
      </rPr>
      <t xml:space="preserve">, 66~84</t>
    </r>
    <r>
      <rPr>
        <sz val="10"/>
        <rFont val="WenQuanYi Zen Hei"/>
        <family val="2"/>
      </rPr>
      <t xml:space="preserve">년생</t>
    </r>
  </si>
  <si>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건 </t>
    </r>
    <r>
      <rPr>
        <sz val="10"/>
        <rFont val="Arial"/>
        <family val="0"/>
        <charset val="1"/>
      </rPr>
      <t xml:space="preserve">/ 31</t>
    </r>
    <r>
      <rPr>
        <sz val="10"/>
        <rFont val="WenQuanYi Zen Hei"/>
        <family val="2"/>
      </rPr>
      <t xml:space="preserve">개사</t>
    </r>
  </si>
  <si>
    <r>
      <rPr>
        <sz val="10"/>
        <rFont val="WenQuanYi Zen Hei"/>
        <family val="2"/>
      </rPr>
      <t xml:space="preserve">①과 인원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직급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학교 일치 확인</t>
    </r>
    <r>
      <rPr>
        <sz val="10"/>
        <rFont val="Arial"/>
        <family val="0"/>
        <charset val="1"/>
      </rPr>
      <t xml:space="preserve">.</t>
    </r>
  </si>
  <si>
    <t xml:space="preserve">③</t>
  </si>
  <si>
    <r>
      <rPr>
        <sz val="10"/>
        <rFont val="Arial"/>
        <family val="0"/>
        <charset val="1"/>
      </rPr>
      <t xml:space="preserve">public_architecture_1966_1980_filtered_final (</t>
    </r>
    <r>
      <rPr>
        <sz val="10"/>
        <rFont val="WenQuanYi Zen Hei"/>
        <family val="2"/>
      </rPr>
      <t xml:space="preserve">현황 </t>
    </r>
    <r>
      <rPr>
        <sz val="10"/>
        <rFont val="Arial"/>
        <family val="0"/>
        <charset val="1"/>
      </rPr>
      <t xml:space="preserve">PDF)</t>
    </r>
  </si>
  <si>
    <r>
      <rPr>
        <sz val="10"/>
        <rFont val="WenQuanYi Zen Hei"/>
        <family val="2"/>
      </rPr>
      <t xml:space="preserve">②의 </t>
    </r>
    <r>
      <rPr>
        <sz val="10"/>
        <rFont val="Arial"/>
        <family val="0"/>
        <charset val="1"/>
      </rPr>
      <t xml:space="preserve">66~80</t>
    </r>
    <r>
      <rPr>
        <sz val="10"/>
        <rFont val="WenQuanYi Zen Hei"/>
        <family val="2"/>
      </rPr>
      <t xml:space="preserve">년생 필터본</t>
    </r>
  </si>
  <si>
    <r>
      <rPr>
        <sz val="10"/>
        <rFont val="Arial"/>
        <family val="0"/>
        <charset val="1"/>
      </rPr>
      <t xml:space="preserve">71</t>
    </r>
    <r>
      <rPr>
        <sz val="10"/>
        <rFont val="WenQuanYi Zen Hei"/>
        <family val="2"/>
      </rPr>
      <t xml:space="preserve">건 </t>
    </r>
    <r>
      <rPr>
        <sz val="10"/>
        <rFont val="Arial"/>
        <family val="0"/>
        <charset val="1"/>
      </rPr>
      <t xml:space="preserve">/ 25</t>
    </r>
    <r>
      <rPr>
        <sz val="10"/>
        <rFont val="WenQuanYi Zen Hei"/>
        <family val="2"/>
      </rPr>
      <t xml:space="preserve">개사</t>
    </r>
  </si>
  <si>
    <r>
      <rPr>
        <sz val="10"/>
        <rFont val="WenQuanYi Zen Hei"/>
        <family val="2"/>
      </rPr>
      <t xml:space="preserve">②의 부분집합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별도 차이 없음</t>
    </r>
    <r>
      <rPr>
        <sz val="10"/>
        <rFont val="Arial"/>
        <family val="0"/>
        <charset val="1"/>
      </rPr>
      <t xml:space="preserve">.</t>
    </r>
  </si>
  <si>
    <t xml:space="preserve">④</t>
  </si>
  <si>
    <r>
      <rPr>
        <sz val="10"/>
        <rFont val="Arial"/>
        <family val="0"/>
        <charset val="1"/>
      </rPr>
      <t xml:space="preserve">5_6213033122695487766 (</t>
    </r>
    <r>
      <rPr>
        <sz val="10"/>
        <rFont val="WenQuanYi Zen Hei"/>
        <family val="2"/>
      </rPr>
      <t xml:space="preserve">학교별 분석 </t>
    </r>
    <r>
      <rPr>
        <sz val="10"/>
        <rFont val="Arial"/>
        <family val="0"/>
        <charset val="1"/>
      </rPr>
      <t xml:space="preserve">PDF)</t>
    </r>
  </si>
  <si>
    <r>
      <rPr>
        <sz val="10"/>
        <rFont val="WenQuanYi Zen Hei"/>
        <family val="2"/>
      </rPr>
      <t xml:space="preserve">학교별 명단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순위</t>
    </r>
  </si>
  <si>
    <r>
      <rPr>
        <sz val="10"/>
        <rFont val="Arial"/>
        <family val="0"/>
        <charset val="1"/>
      </rPr>
      <t xml:space="preserve">94</t>
    </r>
    <r>
      <rPr>
        <sz val="10"/>
        <rFont val="WenQuanYi Zen Hei"/>
        <family val="2"/>
      </rPr>
      <t xml:space="preserve">명 </t>
    </r>
    <r>
      <rPr>
        <sz val="10"/>
        <rFont val="Arial"/>
        <family val="0"/>
        <charset val="1"/>
      </rPr>
      <t xml:space="preserve">/ 44</t>
    </r>
    <r>
      <rPr>
        <sz val="10"/>
        <rFont val="WenQuanYi Zen Hei"/>
        <family val="2"/>
      </rPr>
      <t xml:space="preserve">개교</t>
    </r>
  </si>
  <si>
    <r>
      <rPr>
        <sz val="10"/>
        <rFont val="Arial"/>
        <family val="0"/>
        <charset val="1"/>
      </rPr>
      <t xml:space="preserve">①·②</t>
    </r>
    <r>
      <rPr>
        <sz val="10"/>
        <rFont val="WenQuanYi Zen Hei"/>
        <family val="2"/>
      </rPr>
      <t xml:space="preserve">에 없는 이상범</t>
    </r>
    <r>
      <rPr>
        <sz val="10"/>
        <rFont val="Arial"/>
        <family val="0"/>
        <charset val="1"/>
      </rPr>
      <t xml:space="preserve">(85</t>
    </r>
    <r>
      <rPr>
        <sz val="10"/>
        <rFont val="WenQuanYi Zen Hei"/>
        <family val="2"/>
      </rPr>
      <t xml:space="preserve">년생</t>
    </r>
    <r>
      <rPr>
        <sz val="10"/>
        <rFont val="Arial"/>
        <family val="0"/>
        <charset val="1"/>
      </rPr>
      <t xml:space="preserve">) 1</t>
    </r>
    <r>
      <rPr>
        <sz val="10"/>
        <rFont val="WenQuanYi Zen Hei"/>
        <family val="2"/>
      </rPr>
      <t xml:space="preserve">명 포함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한양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·GS 2</t>
    </r>
    <r>
      <rPr>
        <sz val="10"/>
        <rFont val="WenQuanYi Zen Hei"/>
        <family val="2"/>
      </rPr>
      <t xml:space="preserve">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양진영 등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명 미포함</t>
    </r>
    <r>
      <rPr>
        <sz val="10"/>
        <rFont val="Arial"/>
        <family val="0"/>
        <charset val="1"/>
      </rPr>
      <t xml:space="preserve">.</t>
    </r>
  </si>
  <si>
    <t xml:space="preserve">확인 필요 사항</t>
  </si>
  <si>
    <t xml:space="preserve">No</t>
  </si>
  <si>
    <r>
      <rPr>
        <b val="true"/>
        <sz val="10"/>
        <color rgb="FFFFFFFF"/>
        <rFont val="WenQuanYi Zen Hei"/>
        <family val="2"/>
      </rPr>
      <t xml:space="preserve">성명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업체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</si>
  <si>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항목</t>
  </si>
  <si>
    <t xml:space="preserve">자료별 표기</t>
  </si>
  <si>
    <t xml:space="preserve">본 명부 적용</t>
  </si>
  <si>
    <t xml:space="preserve">1</t>
  </si>
  <si>
    <r>
      <rPr>
        <sz val="10"/>
        <rFont val="WenQuanYi Zen Hei"/>
        <family val="2"/>
      </rPr>
      <t xml:space="preserve">이상범 </t>
    </r>
    <r>
      <rPr>
        <sz val="10"/>
        <rFont val="Arial"/>
        <family val="0"/>
        <charset val="1"/>
      </rPr>
      <t xml:space="preserve">(HJ</t>
    </r>
    <r>
      <rPr>
        <sz val="10"/>
        <rFont val="WenQuanYi Zen Hei"/>
        <family val="2"/>
      </rPr>
      <t xml:space="preserve">중공업</t>
    </r>
    <r>
      <rPr>
        <sz val="10"/>
        <rFont val="Arial"/>
        <family val="0"/>
        <charset val="1"/>
      </rPr>
      <t xml:space="preserve">)</t>
    </r>
  </si>
  <si>
    <t xml:space="preserve">등재 여부</t>
  </si>
  <si>
    <r>
      <rPr>
        <sz val="10"/>
        <rFont val="WenQuanYi Zen Hei"/>
        <family val="2"/>
      </rPr>
      <t xml:space="preserve">④에만 등재</t>
    </r>
    <r>
      <rPr>
        <sz val="10"/>
        <rFont val="Arial"/>
        <family val="0"/>
        <charset val="1"/>
      </rPr>
      <t xml:space="preserve">(85</t>
    </r>
    <r>
      <rPr>
        <sz val="10"/>
        <rFont val="WenQuanYi Zen Hei"/>
        <family val="2"/>
      </rPr>
      <t xml:space="preserve">년생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과장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숭실대</t>
    </r>
    <r>
      <rPr>
        <sz val="10"/>
        <rFont val="Arial"/>
        <family val="0"/>
        <charset val="1"/>
      </rPr>
      <t xml:space="preserve">). ①②③ </t>
    </r>
    <r>
      <rPr>
        <sz val="10"/>
        <rFont val="WenQuanYi Zen Hei"/>
        <family val="2"/>
      </rPr>
      <t xml:space="preserve">미등재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</si>
  <si>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명부에 포함</t>
    </r>
    <r>
      <rPr>
        <sz val="10"/>
        <rFont val="Arial"/>
        <family val="0"/>
        <charset val="1"/>
      </rPr>
      <t xml:space="preserve">(101</t>
    </r>
    <r>
      <rPr>
        <sz val="10"/>
        <rFont val="WenQuanYi Zen Hei"/>
        <family val="2"/>
      </rPr>
      <t xml:space="preserve">번째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자료출처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학교별분석</t>
    </r>
    <r>
      <rPr>
        <sz val="10"/>
        <rFont val="Arial"/>
        <family val="0"/>
        <charset val="1"/>
      </rPr>
      <t xml:space="preserve">PDF </t>
    </r>
    <r>
      <rPr>
        <sz val="10"/>
        <rFont val="WenQuanYi Zen Hei"/>
        <family val="2"/>
      </rPr>
      <t xml:space="preserve">단독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표기</t>
    </r>
    <r>
      <rPr>
        <sz val="10"/>
        <rFont val="Arial"/>
        <family val="0"/>
        <charset val="1"/>
      </rPr>
      <t xml:space="preserve">.</t>
    </r>
  </si>
  <si>
    <t xml:space="preserve">2</t>
  </si>
  <si>
    <r>
      <rPr>
        <sz val="10"/>
        <rFont val="WenQuanYi Zen Hei"/>
        <family val="2"/>
      </rPr>
      <t xml:space="preserve">사용기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계룡</t>
    </r>
    <r>
      <rPr>
        <sz val="10"/>
        <rFont val="Arial"/>
        <family val="0"/>
        <charset val="1"/>
      </rPr>
      <t xml:space="preserve">)</t>
    </r>
  </si>
  <si>
    <t xml:space="preserve">출신학교</t>
  </si>
  <si>
    <r>
      <rPr>
        <sz val="10"/>
        <rFont val="WenQuanYi Zen Hei"/>
        <family val="2"/>
      </rPr>
      <t xml:space="preserve">①② 충북대 </t>
    </r>
    <r>
      <rPr>
        <sz val="10"/>
        <rFont val="Arial"/>
        <family val="0"/>
        <charset val="1"/>
      </rPr>
      <t xml:space="preserve">/ ④ </t>
    </r>
    <r>
      <rPr>
        <sz val="10"/>
        <rFont val="WenQuanYi Zen Hei"/>
        <family val="2"/>
      </rPr>
      <t xml:space="preserve">청주대</t>
    </r>
  </si>
  <si>
    <r>
      <rPr>
        <sz val="10"/>
        <rFont val="WenQuanYi Zen Hei"/>
        <family val="2"/>
      </rPr>
      <t xml:space="preserve">충북대</t>
    </r>
    <r>
      <rPr>
        <sz val="10"/>
        <rFont val="Arial"/>
        <family val="0"/>
        <charset val="1"/>
      </rPr>
      <t xml:space="preserve">(2</t>
    </r>
    <r>
      <rPr>
        <sz val="10"/>
        <rFont val="WenQuanYi Zen Hei"/>
        <family val="2"/>
      </rPr>
      <t xml:space="preserve">개 자료 일치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적용</t>
    </r>
    <r>
      <rPr>
        <sz val="10"/>
        <rFont val="Arial"/>
        <family val="0"/>
        <charset val="1"/>
      </rPr>
      <t xml:space="preserve">.</t>
    </r>
  </si>
  <si>
    <t xml:space="preserve">3</t>
  </si>
  <si>
    <r>
      <rPr>
        <sz val="10"/>
        <rFont val="WenQuanYi Zen Hei"/>
        <family val="2"/>
      </rPr>
      <t xml:space="preserve">이진혁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현대</t>
    </r>
    <r>
      <rPr>
        <sz val="10"/>
        <rFont val="Arial"/>
        <family val="0"/>
        <charset val="1"/>
      </rPr>
      <t xml:space="preserve">ENG)</t>
    </r>
  </si>
  <si>
    <r>
      <rPr>
        <sz val="10"/>
        <rFont val="WenQuanYi Zen Hei"/>
        <family val="2"/>
      </rPr>
      <t xml:space="preserve">①② 차장 </t>
    </r>
    <r>
      <rPr>
        <sz val="10"/>
        <rFont val="Arial"/>
        <family val="0"/>
        <charset val="1"/>
      </rPr>
      <t xml:space="preserve">/ ④ </t>
    </r>
    <r>
      <rPr>
        <sz val="10"/>
        <rFont val="WenQuanYi Zen Hei"/>
        <family val="2"/>
      </rPr>
      <t xml:space="preserve">책임</t>
    </r>
  </si>
  <si>
    <r>
      <rPr>
        <sz val="10"/>
        <rFont val="WenQuanYi Zen Hei"/>
        <family val="2"/>
      </rPr>
      <t xml:space="preserve">차장 적용</t>
    </r>
    <r>
      <rPr>
        <sz val="10"/>
        <rFont val="Arial"/>
        <family val="0"/>
        <charset val="1"/>
      </rPr>
      <t xml:space="preserve">.</t>
    </r>
  </si>
  <si>
    <t xml:space="preserve">4</t>
  </si>
  <si>
    <r>
      <rPr>
        <sz val="10"/>
        <rFont val="WenQuanYi Zen Hei"/>
        <family val="2"/>
      </rPr>
      <t xml:space="preserve">김태우 </t>
    </r>
    <r>
      <rPr>
        <sz val="10"/>
        <rFont val="Arial"/>
        <family val="0"/>
        <charset val="1"/>
      </rPr>
      <t xml:space="preserve">(GS)</t>
    </r>
  </si>
  <si>
    <r>
      <rPr>
        <sz val="10"/>
        <rFont val="WenQuanYi Zen Hei"/>
        <family val="2"/>
      </rPr>
      <t xml:space="preserve">①② 빠른</t>
    </r>
    <r>
      <rPr>
        <sz val="10"/>
        <rFont val="Arial"/>
        <family val="0"/>
        <charset val="1"/>
      </rPr>
      <t xml:space="preserve">82(82</t>
    </r>
    <r>
      <rPr>
        <sz val="10"/>
        <rFont val="WenQuanYi Zen Hei"/>
        <family val="2"/>
      </rPr>
      <t xml:space="preserve">년생 행</t>
    </r>
    <r>
      <rPr>
        <sz val="10"/>
        <rFont val="Arial"/>
        <family val="0"/>
        <charset val="1"/>
      </rPr>
      <t xml:space="preserve">) / ④ 81</t>
    </r>
  </si>
  <si>
    <r>
      <rPr>
        <sz val="10"/>
        <rFont val="Arial"/>
        <family val="0"/>
        <charset val="1"/>
      </rPr>
      <t xml:space="preserve">82</t>
    </r>
    <r>
      <rPr>
        <sz val="10"/>
        <rFont val="WenQuanYi Zen Hei"/>
        <family val="2"/>
      </rPr>
      <t xml:space="preserve">년생 적용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빠른년생 표기</t>
    </r>
    <r>
      <rPr>
        <sz val="10"/>
        <rFont val="Arial"/>
        <family val="0"/>
        <charset val="1"/>
      </rPr>
      <t xml:space="preserve">.</t>
    </r>
  </si>
  <si>
    <t xml:space="preserve">5</t>
  </si>
  <si>
    <r>
      <rPr>
        <sz val="10"/>
        <rFont val="WenQuanYi Zen Hei"/>
        <family val="2"/>
      </rPr>
      <t xml:space="preserve">유태현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금강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</si>
  <si>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① 77</t>
    </r>
    <r>
      <rPr>
        <sz val="10"/>
        <rFont val="WenQuanYi Zen Hei"/>
        <family val="2"/>
      </rPr>
      <t xml:space="preserve">년생 행에 </t>
    </r>
    <r>
      <rPr>
        <sz val="10"/>
        <rFont val="Arial"/>
        <family val="0"/>
        <charset val="1"/>
      </rPr>
      <t xml:space="preserve">"</t>
    </r>
    <r>
      <rPr>
        <sz val="10"/>
        <rFont val="WenQuanYi Zen Hei"/>
        <family val="2"/>
      </rPr>
      <t xml:space="preserve">빠른</t>
    </r>
    <r>
      <rPr>
        <sz val="10"/>
        <rFont val="Arial"/>
        <family val="0"/>
        <charset val="1"/>
      </rPr>
      <t xml:space="preserve">76" </t>
    </r>
    <r>
      <rPr>
        <sz val="10"/>
        <rFont val="WenQuanYi Zen Hei"/>
        <family val="2"/>
      </rPr>
      <t xml:space="preserve">기재 </t>
    </r>
    <r>
      <rPr>
        <sz val="10"/>
        <rFont val="Arial"/>
        <family val="0"/>
        <charset val="1"/>
      </rPr>
      <t xml:space="preserve">/ ② 77</t>
    </r>
    <r>
      <rPr>
        <sz val="10"/>
        <rFont val="WenQuanYi Zen Hei"/>
        <family val="2"/>
      </rPr>
      <t xml:space="preserve">년생 </t>
    </r>
    <r>
      <rPr>
        <sz val="10"/>
        <rFont val="Arial"/>
        <family val="0"/>
        <charset val="1"/>
      </rPr>
      <t xml:space="preserve">/ ④ 77</t>
    </r>
  </si>
  <si>
    <r>
      <rPr>
        <sz val="10"/>
        <rFont val="Arial"/>
        <family val="0"/>
        <charset val="1"/>
      </rPr>
      <t xml:space="preserve">77</t>
    </r>
    <r>
      <rPr>
        <sz val="10"/>
        <rFont val="WenQuanYi Zen Hei"/>
        <family val="2"/>
      </rPr>
      <t xml:space="preserve">년생 적용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빠른년생 표기</t>
    </r>
    <r>
      <rPr>
        <sz val="10"/>
        <rFont val="Arial"/>
        <family val="0"/>
        <charset val="1"/>
      </rPr>
      <t xml:space="preserve">.</t>
    </r>
  </si>
  <si>
    <t xml:space="preserve">6</t>
  </si>
  <si>
    <r>
      <rPr>
        <sz val="10"/>
        <rFont val="WenQuanYi Zen Hei"/>
        <family val="2"/>
      </rPr>
      <t xml:space="preserve">이유한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김현욱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한양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</si>
  <si>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① 직급 미기재 </t>
    </r>
    <r>
      <rPr>
        <sz val="10"/>
        <rFont val="Arial"/>
        <family val="0"/>
        <charset val="1"/>
      </rPr>
      <t xml:space="preserve">/ ② </t>
    </r>
    <r>
      <rPr>
        <sz val="10"/>
        <rFont val="WenQuanYi Zen Hei"/>
        <family val="2"/>
      </rPr>
      <t xml:space="preserve">직급 미기재</t>
    </r>
  </si>
  <si>
    <r>
      <rPr>
        <sz val="10"/>
        <rFont val="WenQuanYi Zen Hei"/>
        <family val="2"/>
      </rPr>
      <t xml:space="preserve">공란 처리</t>
    </r>
    <r>
      <rPr>
        <sz val="10"/>
        <rFont val="Arial"/>
        <family val="0"/>
        <charset val="1"/>
      </rPr>
      <t xml:space="preserve">.</t>
    </r>
  </si>
  <si>
    <t xml:space="preserve">7</t>
  </si>
  <si>
    <r>
      <rPr>
        <sz val="10"/>
        <rFont val="WenQuanYi Zen Hei"/>
        <family val="2"/>
      </rPr>
      <t xml:space="preserve">양진영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대보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</si>
  <si>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① "</t>
    </r>
    <r>
      <rPr>
        <sz val="10"/>
        <rFont val="WenQuanYi Zen Hei"/>
        <family val="2"/>
      </rPr>
      <t xml:space="preserve">국방부</t>
    </r>
    <r>
      <rPr>
        <sz val="10"/>
        <rFont val="Arial"/>
        <family val="0"/>
        <charset val="1"/>
      </rPr>
      <t xml:space="preserve">" </t>
    </r>
    <r>
      <rPr>
        <sz val="10"/>
        <rFont val="WenQuanYi Zen Hei"/>
        <family val="2"/>
      </rPr>
      <t xml:space="preserve">표기</t>
    </r>
  </si>
  <si>
    <r>
      <rPr>
        <sz val="10"/>
        <rFont val="WenQuanYi Zen Hei"/>
        <family val="2"/>
      </rPr>
      <t xml:space="preserve">학교 미확인 처리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학교별 집계 제외</t>
    </r>
    <r>
      <rPr>
        <sz val="10"/>
        <rFont val="Arial"/>
        <family val="0"/>
        <charset val="1"/>
      </rPr>
      <t xml:space="preserve">.</t>
    </r>
  </si>
  <si>
    <t xml:space="preserve">8</t>
  </si>
  <si>
    <r>
      <rPr>
        <sz val="10"/>
        <rFont val="Arial"/>
        <family val="0"/>
        <charset val="1"/>
      </rPr>
      <t xml:space="preserve">①-</t>
    </r>
    <r>
      <rPr>
        <sz val="10"/>
        <rFont val="WenQuanYi Zen Hei"/>
        <family val="2"/>
      </rPr>
      <t xml:space="preserve">세로 시트</t>
    </r>
  </si>
  <si>
    <t xml:space="preserve">구버전 기록</t>
  </si>
  <si>
    <r>
      <rPr>
        <sz val="10"/>
        <rFont val="WenQuanYi Zen Hei"/>
        <family val="2"/>
      </rPr>
      <t xml:space="preserve">신재혁 </t>
    </r>
    <r>
      <rPr>
        <sz val="10"/>
        <rFont val="Arial"/>
        <family val="0"/>
        <charset val="1"/>
      </rPr>
      <t xml:space="preserve">68</t>
    </r>
    <r>
      <rPr>
        <sz val="10"/>
        <rFont val="WenQuanYi Zen Hei"/>
        <family val="2"/>
      </rPr>
      <t xml:space="preserve">년생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김용 </t>
    </r>
    <r>
      <rPr>
        <sz val="10"/>
        <rFont val="Arial"/>
        <family val="0"/>
        <charset val="1"/>
      </rPr>
      <t xml:space="preserve">69</t>
    </r>
    <r>
      <rPr>
        <sz val="10"/>
        <rFont val="WenQuanYi Zen Hei"/>
        <family val="2"/>
      </rPr>
      <t xml:space="preserve">년생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태영 김학기</t>
    </r>
    <r>
      <rPr>
        <sz val="10"/>
        <rFont val="Arial"/>
        <family val="0"/>
        <charset val="1"/>
      </rPr>
      <t xml:space="preserve">·DL</t>
    </r>
    <r>
      <rPr>
        <sz val="10"/>
        <rFont val="WenQuanYi Zen Hei"/>
        <family val="2"/>
      </rPr>
      <t xml:space="preserve">건설 박종모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대우 박재범</t>
    </r>
    <r>
      <rPr>
        <sz val="10"/>
        <rFont val="Arial"/>
        <family val="0"/>
        <charset val="1"/>
      </rPr>
      <t xml:space="preserve">(76) </t>
    </r>
    <r>
      <rPr>
        <sz val="10"/>
        <rFont val="WenQuanYi Zen Hei"/>
        <family val="2"/>
      </rPr>
      <t xml:space="preserve">등 가로 시트와 상이</t>
    </r>
  </si>
  <si>
    <r>
      <rPr>
        <sz val="10"/>
        <rFont val="WenQuanYi Zen Hei"/>
        <family val="2"/>
      </rPr>
      <t xml:space="preserve">가로 시트</t>
    </r>
    <r>
      <rPr>
        <sz val="10"/>
        <rFont val="Arial"/>
        <family val="0"/>
        <charset val="1"/>
      </rPr>
      <t xml:space="preserve">(②</t>
    </r>
    <r>
      <rPr>
        <sz val="10"/>
        <rFont val="WenQuanYi Zen Hei"/>
        <family val="2"/>
      </rPr>
      <t xml:space="preserve">와 일치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기준 적용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세로 시트 단독 인원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김학기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박종모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미포함</t>
    </r>
    <r>
      <rPr>
        <sz val="10"/>
        <rFont val="Arial"/>
        <family val="0"/>
        <charset val="1"/>
      </rPr>
      <t xml:space="preserve">.</t>
    </r>
  </si>
  <si>
    <t xml:space="preserve">9</t>
  </si>
  <si>
    <r>
      <rPr>
        <sz val="10"/>
        <rFont val="Arial"/>
        <family val="0"/>
        <charset val="1"/>
      </rPr>
      <t xml:space="preserve">①-</t>
    </r>
    <r>
      <rPr>
        <sz val="10"/>
        <rFont val="WenQuanYi Zen Hei"/>
        <family val="2"/>
      </rPr>
      <t xml:space="preserve">가로 시트</t>
    </r>
  </si>
  <si>
    <t xml:space="preserve">기타</t>
  </si>
  <si>
    <r>
      <rPr>
        <sz val="10"/>
        <rFont val="Arial"/>
        <family val="0"/>
        <charset val="1"/>
      </rPr>
      <t xml:space="preserve">J5:K20 </t>
    </r>
    <r>
      <rPr>
        <sz val="10"/>
        <rFont val="WenQuanYi Zen Hei"/>
        <family val="2"/>
      </rPr>
      <t xml:space="preserve">영역에 용도 미상 숫자</t>
    </r>
    <r>
      <rPr>
        <sz val="10"/>
        <rFont val="Arial"/>
        <family val="0"/>
        <charset val="1"/>
      </rPr>
      <t xml:space="preserve">(1/82, 0/81 …) </t>
    </r>
    <r>
      <rPr>
        <sz val="10"/>
        <rFont val="WenQuanYi Zen Hei"/>
        <family val="2"/>
      </rPr>
      <t xml:space="preserve">존재</t>
    </r>
  </si>
  <si>
    <r>
      <rPr>
        <sz val="10"/>
        <rFont val="WenQuanYi Zen Hei"/>
        <family val="2"/>
      </rPr>
      <t xml:space="preserve">명부와 무관하여 미반영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</si>
</sst>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0000FF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1"/>
      <color rgb="FF1F3864"/>
      <name val="WenQuanYi Zen Hei"/>
      <family val="2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/>
      <c r="B5" s="4" t="s">
        <v>2</v>
      </c>
      <c r="C5" s="5" t="n">
        <v>2026</v>
      </c>
      <c r="D5" s="4" t="s">
        <v>3</v>
      </c>
    </row>
    <row r="6" customFormat="false" ht="15" hidden="false" customHeight="false" outlineLevel="0" collapsed="false">
      <c r="A6" s="3"/>
      <c r="B6" s="4"/>
      <c r="C6" s="3"/>
      <c r="D6" s="4"/>
    </row>
    <row r="7" customFormat="false" ht="15" hidden="false" customHeight="false" outlineLevel="0" collapsed="false">
      <c r="A7" s="3"/>
      <c r="B7" s="6" t="s">
        <v>4</v>
      </c>
      <c r="C7" s="3" t="n">
        <f aca="false">COUNTA(인원명부!$H$5:$H$105)</f>
        <v>101</v>
      </c>
      <c r="D7" s="4" t="s">
        <v>5</v>
      </c>
    </row>
    <row r="8" customFormat="false" ht="15" hidden="false" customHeight="false" outlineLevel="0" collapsed="false">
      <c r="A8" s="3"/>
      <c r="B8" s="6" t="s">
        <v>6</v>
      </c>
      <c r="C8" s="3" t="n">
        <f aca="false">SUMPRODUCT(1/COUNTIF(인원명부!$F$5:$F$105,인원명부!$F$5:$F$105))</f>
        <v>31</v>
      </c>
      <c r="D8" s="4" t="s">
        <v>7</v>
      </c>
    </row>
    <row r="9" customFormat="false" ht="15" hidden="false" customHeight="false" outlineLevel="0" collapsed="false">
      <c r="A9" s="3"/>
      <c r="B9" s="6" t="s">
        <v>8</v>
      </c>
      <c r="C9" s="3" t="n">
        <f aca="false">SUMPRODUCT((인원명부!$L$5:$L$105&lt;&gt;"")/COUNTIF(인원명부!$L$5:$L$105,인원명부!$L$5:$L$105&amp;""))</f>
        <v>45</v>
      </c>
      <c r="D9" s="4" t="s">
        <v>9</v>
      </c>
    </row>
    <row r="10" customFormat="false" ht="15" hidden="false" customHeight="false" outlineLevel="0" collapsed="false">
      <c r="A10" s="3"/>
      <c r="B10" s="6" t="s">
        <v>10</v>
      </c>
      <c r="C10" s="3" t="n">
        <f aca="false">MIN(인원명부!$B$5:$B$105)</f>
        <v>66</v>
      </c>
      <c r="D10" s="4"/>
    </row>
    <row r="11" customFormat="false" ht="15" hidden="false" customHeight="false" outlineLevel="0" collapsed="false">
      <c r="A11" s="3"/>
      <c r="B11" s="6" t="s">
        <v>11</v>
      </c>
      <c r="C11" s="3" t="n">
        <f aca="false">MAX(인원명부!$B$5:$B$105)</f>
        <v>85</v>
      </c>
      <c r="D11" s="4"/>
    </row>
    <row r="12" customFormat="false" ht="15" hidden="false" customHeight="false" outlineLevel="0" collapsed="false">
      <c r="A12" s="3"/>
      <c r="B12" s="6" t="s">
        <v>12</v>
      </c>
      <c r="C12" s="3" t="n">
        <f aca="false">COUNTIF(인원명부!$J$5:$J$105,"임원")</f>
        <v>33</v>
      </c>
      <c r="D12" s="4" t="s">
        <v>13</v>
      </c>
    </row>
    <row r="13" customFormat="false" ht="15" hidden="false" customHeight="false" outlineLevel="0" collapsed="false">
      <c r="A13" s="3"/>
      <c r="B13" s="6" t="s">
        <v>14</v>
      </c>
      <c r="C13" s="3" t="n">
        <f aca="false">COUNTIF(인원명부!$J$5:$J$105,"부장 이하")</f>
        <v>66</v>
      </c>
      <c r="D13" s="4" t="s">
        <v>15</v>
      </c>
    </row>
    <row r="14" customFormat="false" ht="15" hidden="false" customHeight="false" outlineLevel="0" collapsed="false">
      <c r="A14" s="3"/>
      <c r="B14" s="6" t="s">
        <v>16</v>
      </c>
      <c r="C14" s="3" t="n">
        <f aca="false">COUNTIF(인원명부!$J$5:$J$105,"미기재")</f>
        <v>2</v>
      </c>
      <c r="D14" s="4" t="s">
        <v>17</v>
      </c>
    </row>
    <row r="15" customFormat="false" ht="15" hidden="false" customHeight="false" outlineLevel="0" collapsed="false">
      <c r="A15" s="3"/>
      <c r="B15" s="6" t="s">
        <v>18</v>
      </c>
      <c r="C15" s="3" t="n">
        <f aca="false">COUNTIF(인원명부!$K$5:$K$105,"?*")</f>
        <v>28</v>
      </c>
      <c r="D15" s="4" t="s">
        <v>19</v>
      </c>
    </row>
    <row r="16" customFormat="false" ht="15" hidden="false" customHeight="false" outlineLevel="0" collapsed="false">
      <c r="A16" s="3"/>
      <c r="B16" s="6" t="s">
        <v>20</v>
      </c>
      <c r="C16" s="3" t="str">
        <f aca="false">INDEX(학교별!B5:B49,MATCH(MAX(학교별!D5:D49),학교별!D5:D49,0))</f>
        <v>한양대</v>
      </c>
      <c r="D16" s="4"/>
    </row>
    <row r="17" customFormat="false" ht="15" hidden="false" customHeight="false" outlineLevel="0" collapsed="false">
      <c r="A17" s="3"/>
      <c r="B17" s="6" t="s">
        <v>21</v>
      </c>
      <c r="C17" s="3" t="n">
        <f aca="false">MAX(학교별!D5:D49)</f>
        <v>11</v>
      </c>
      <c r="D17" s="4"/>
    </row>
    <row r="18" customFormat="false" ht="15" hidden="false" customHeight="false" outlineLevel="0" collapsed="false">
      <c r="A18" s="3"/>
      <c r="B18" s="6" t="s">
        <v>22</v>
      </c>
      <c r="C18" s="3" t="str">
        <f aca="false">INDEX(업체별!B5:B35,MATCH(MAX(업체별!C5:C35),업체별!C5:C35,0))</f>
        <v>대보</v>
      </c>
      <c r="D18" s="4"/>
    </row>
    <row r="19" customFormat="false" ht="15" hidden="false" customHeight="false" outlineLevel="0" collapsed="false">
      <c r="A19" s="3"/>
      <c r="B19" s="6" t="s">
        <v>23</v>
      </c>
      <c r="C19" s="3" t="n">
        <f aca="false">MAX(업체별!C5:C35)</f>
        <v>8</v>
      </c>
      <c r="D19" s="4"/>
    </row>
    <row r="20" customFormat="false" ht="15" hidden="false" customHeight="false" outlineLevel="0" collapsed="false">
      <c r="A20" s="3"/>
      <c r="B20" s="6" t="s">
        <v>24</v>
      </c>
      <c r="C20" s="3" t="n">
        <f aca="false">COUNTIF(인원명부!$P$5:$P$105,"*확인 필요*")</f>
        <v>4</v>
      </c>
      <c r="D20" s="4" t="s">
        <v>25</v>
      </c>
    </row>
    <row r="21" customFormat="false" ht="15" hidden="false" customHeight="false" outlineLevel="0" collapsed="false">
      <c r="A21" s="3"/>
      <c r="B21" s="4"/>
      <c r="C21" s="3"/>
      <c r="D21" s="4"/>
    </row>
    <row r="22" customFormat="false" ht="15" hidden="false" customHeight="false" outlineLevel="0" collapsed="false">
      <c r="B22" s="7" t="s">
        <v>26</v>
      </c>
    </row>
    <row r="23" customFormat="false" ht="15" hidden="false" customHeight="false" outlineLevel="0" collapsed="false">
      <c r="B23" s="8"/>
      <c r="C23" s="9" t="s">
        <v>27</v>
      </c>
    </row>
    <row r="24" customFormat="false" ht="15" hidden="false" customHeight="false" outlineLevel="0" collapsed="false">
      <c r="B24" s="10"/>
      <c r="C24" s="9" t="s">
        <v>28</v>
      </c>
    </row>
    <row r="25" customFormat="false" ht="15" hidden="false" customHeight="false" outlineLevel="0" collapsed="false">
      <c r="B25" s="11"/>
      <c r="C25" s="9" t="s">
        <v>29</v>
      </c>
    </row>
    <row r="27" customFormat="false" ht="15" hidden="false" customHeight="false" outlineLevel="0" collapsed="false">
      <c r="B27" s="7" t="s">
        <v>30</v>
      </c>
    </row>
    <row r="28" customFormat="false" ht="15" hidden="false" customHeight="false" outlineLevel="0" collapsed="false">
      <c r="B28" s="9" t="s">
        <v>31</v>
      </c>
    </row>
    <row r="29" customFormat="false" ht="15" hidden="false" customHeight="false" outlineLevel="0" collapsed="false">
      <c r="B29" s="9" t="s">
        <v>32</v>
      </c>
    </row>
    <row r="30" customFormat="false" ht="15" hidden="false" customHeight="false" outlineLevel="0" collapsed="false">
      <c r="B30" s="9" t="s">
        <v>33</v>
      </c>
    </row>
    <row r="31" customFormat="false" ht="15" hidden="false" customHeight="false" outlineLevel="0" collapsed="false">
      <c r="B31" s="9" t="s">
        <v>34</v>
      </c>
    </row>
    <row r="32" customFormat="false" ht="15" hidden="false" customHeight="false" outlineLevel="0" collapsed="false">
      <c r="B32" s="9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7"/>
    <col collapsed="false" customWidth="true" hidden="false" outlineLevel="0" max="5" min="5" style="0" width="8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48"/>
  </cols>
  <sheetData>
    <row r="1" customFormat="false" ht="19.4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0" hidden="false" customHeight="true" outlineLevel="0" collapsed="false">
      <c r="A4" s="12" t="s">
        <v>38</v>
      </c>
      <c r="B4" s="12" t="s">
        <v>39</v>
      </c>
      <c r="C4" s="12" t="s">
        <v>40</v>
      </c>
      <c r="D4" s="12" t="s">
        <v>41</v>
      </c>
      <c r="E4" s="12" t="s">
        <v>42</v>
      </c>
      <c r="F4" s="12" t="s">
        <v>43</v>
      </c>
      <c r="G4" s="12" t="s">
        <v>44</v>
      </c>
      <c r="H4" s="12" t="s">
        <v>45</v>
      </c>
      <c r="I4" s="12" t="s">
        <v>46</v>
      </c>
      <c r="J4" s="12" t="s">
        <v>47</v>
      </c>
      <c r="K4" s="12" t="s">
        <v>48</v>
      </c>
      <c r="L4" s="12" t="s">
        <v>49</v>
      </c>
      <c r="M4" s="12" t="s">
        <v>50</v>
      </c>
      <c r="N4" s="12" t="s">
        <v>51</v>
      </c>
      <c r="O4" s="12" t="s">
        <v>52</v>
      </c>
      <c r="P4" s="12" t="s">
        <v>53</v>
      </c>
    </row>
    <row r="5" customFormat="false" ht="26.85" hidden="false" customHeight="false" outlineLevel="0" collapsed="false">
      <c r="A5" s="3" t="n">
        <v>1</v>
      </c>
      <c r="B5" s="3" t="n">
        <v>66</v>
      </c>
      <c r="C5" s="3"/>
      <c r="D5" s="3" t="n">
        <f aca="false">요약!$C$5-(1900+B5)</f>
        <v>60</v>
      </c>
      <c r="E5" s="13" t="s">
        <v>54</v>
      </c>
      <c r="F5" s="14" t="s">
        <v>55</v>
      </c>
      <c r="G5" s="13" t="s">
        <v>55</v>
      </c>
      <c r="H5" s="13" t="s">
        <v>56</v>
      </c>
      <c r="I5" s="13" t="s">
        <v>57</v>
      </c>
      <c r="J5" s="14" t="s">
        <v>58</v>
      </c>
      <c r="K5" s="3"/>
      <c r="L5" s="13" t="s">
        <v>59</v>
      </c>
      <c r="M5" s="4" t="s">
        <v>60</v>
      </c>
      <c r="N5" s="3"/>
      <c r="O5" s="4" t="s">
        <v>61</v>
      </c>
      <c r="P5" s="4"/>
    </row>
    <row r="6" customFormat="false" ht="26.85" hidden="false" customHeight="false" outlineLevel="0" collapsed="false">
      <c r="A6" s="3" t="n">
        <v>2</v>
      </c>
      <c r="B6" s="3" t="n">
        <v>66</v>
      </c>
      <c r="C6" s="3"/>
      <c r="D6" s="3" t="n">
        <f aca="false">요약!$C$5-(1900+B6)</f>
        <v>60</v>
      </c>
      <c r="E6" s="13" t="s">
        <v>54</v>
      </c>
      <c r="F6" s="15" t="s">
        <v>62</v>
      </c>
      <c r="G6" s="3" t="s">
        <v>62</v>
      </c>
      <c r="H6" s="13" t="s">
        <v>63</v>
      </c>
      <c r="I6" s="13" t="s">
        <v>64</v>
      </c>
      <c r="J6" s="14" t="s">
        <v>58</v>
      </c>
      <c r="K6" s="3"/>
      <c r="L6" s="13" t="s">
        <v>65</v>
      </c>
      <c r="M6" s="4" t="s">
        <v>65</v>
      </c>
      <c r="N6" s="13" t="s">
        <v>66</v>
      </c>
      <c r="O6" s="4" t="s">
        <v>61</v>
      </c>
      <c r="P6" s="4"/>
    </row>
    <row r="7" customFormat="false" ht="26.85" hidden="false" customHeight="false" outlineLevel="0" collapsed="false">
      <c r="A7" s="3" t="n">
        <v>3</v>
      </c>
      <c r="B7" s="3" t="n">
        <v>66</v>
      </c>
      <c r="C7" s="3"/>
      <c r="D7" s="3" t="n">
        <f aca="false">요약!$C$5-(1900+B7)</f>
        <v>60</v>
      </c>
      <c r="E7" s="13" t="s">
        <v>54</v>
      </c>
      <c r="F7" s="14" t="s">
        <v>67</v>
      </c>
      <c r="G7" s="13" t="s">
        <v>67</v>
      </c>
      <c r="H7" s="13" t="s">
        <v>68</v>
      </c>
      <c r="I7" s="13" t="s">
        <v>69</v>
      </c>
      <c r="J7" s="14" t="s">
        <v>58</v>
      </c>
      <c r="K7" s="3"/>
      <c r="L7" s="13" t="s">
        <v>70</v>
      </c>
      <c r="M7" s="4" t="s">
        <v>70</v>
      </c>
      <c r="N7" s="13" t="s">
        <v>71</v>
      </c>
      <c r="O7" s="4" t="s">
        <v>61</v>
      </c>
      <c r="P7" s="4"/>
    </row>
    <row r="8" customFormat="false" ht="26.85" hidden="false" customHeight="false" outlineLevel="0" collapsed="false">
      <c r="A8" s="3" t="n">
        <v>4</v>
      </c>
      <c r="B8" s="3" t="n">
        <v>66</v>
      </c>
      <c r="C8" s="3"/>
      <c r="D8" s="3" t="n">
        <f aca="false">요약!$C$5-(1900+B8)</f>
        <v>60</v>
      </c>
      <c r="E8" s="13" t="s">
        <v>54</v>
      </c>
      <c r="F8" s="14" t="s">
        <v>72</v>
      </c>
      <c r="G8" s="13" t="s">
        <v>72</v>
      </c>
      <c r="H8" s="13" t="s">
        <v>73</v>
      </c>
      <c r="I8" s="13" t="s">
        <v>69</v>
      </c>
      <c r="J8" s="14" t="s">
        <v>58</v>
      </c>
      <c r="K8" s="3"/>
      <c r="L8" s="13" t="s">
        <v>74</v>
      </c>
      <c r="M8" s="4" t="s">
        <v>74</v>
      </c>
      <c r="N8" s="13" t="s">
        <v>71</v>
      </c>
      <c r="O8" s="4" t="s">
        <v>61</v>
      </c>
      <c r="P8" s="4"/>
    </row>
    <row r="9" customFormat="false" ht="26.85" hidden="false" customHeight="false" outlineLevel="0" collapsed="false">
      <c r="A9" s="3" t="n">
        <v>5</v>
      </c>
      <c r="B9" s="3" t="n">
        <v>66</v>
      </c>
      <c r="C9" s="3"/>
      <c r="D9" s="3" t="n">
        <f aca="false">요약!$C$5-(1900+B9)</f>
        <v>60</v>
      </c>
      <c r="E9" s="13" t="s">
        <v>54</v>
      </c>
      <c r="F9" s="14" t="s">
        <v>75</v>
      </c>
      <c r="G9" s="13" t="s">
        <v>75</v>
      </c>
      <c r="H9" s="13" t="s">
        <v>76</v>
      </c>
      <c r="I9" s="13" t="s">
        <v>69</v>
      </c>
      <c r="J9" s="14" t="s">
        <v>58</v>
      </c>
      <c r="K9" s="3"/>
      <c r="L9" s="13" t="s">
        <v>77</v>
      </c>
      <c r="M9" s="4" t="s">
        <v>77</v>
      </c>
      <c r="N9" s="13" t="s">
        <v>71</v>
      </c>
      <c r="O9" s="4" t="s">
        <v>61</v>
      </c>
      <c r="P9" s="4"/>
    </row>
    <row r="10" customFormat="false" ht="26.85" hidden="false" customHeight="false" outlineLevel="0" collapsed="false">
      <c r="A10" s="3" t="n">
        <v>6</v>
      </c>
      <c r="B10" s="3" t="n">
        <v>69</v>
      </c>
      <c r="C10" s="3"/>
      <c r="D10" s="3" t="n">
        <f aca="false">요약!$C$5-(1900+B10)</f>
        <v>57</v>
      </c>
      <c r="E10" s="13" t="s">
        <v>78</v>
      </c>
      <c r="F10" s="14" t="s">
        <v>79</v>
      </c>
      <c r="G10" s="13" t="s">
        <v>79</v>
      </c>
      <c r="H10" s="13" t="s">
        <v>80</v>
      </c>
      <c r="I10" s="13" t="s">
        <v>64</v>
      </c>
      <c r="J10" s="14" t="s">
        <v>58</v>
      </c>
      <c r="K10" s="3"/>
      <c r="L10" s="13" t="s">
        <v>81</v>
      </c>
      <c r="M10" s="4" t="s">
        <v>81</v>
      </c>
      <c r="N10" s="13" t="s">
        <v>71</v>
      </c>
      <c r="O10" s="4" t="s">
        <v>61</v>
      </c>
      <c r="P10" s="4" t="s">
        <v>82</v>
      </c>
    </row>
    <row r="11" customFormat="false" ht="26.85" hidden="false" customHeight="false" outlineLevel="0" collapsed="false">
      <c r="A11" s="3" t="n">
        <v>7</v>
      </c>
      <c r="B11" s="3" t="n">
        <v>70</v>
      </c>
      <c r="C11" s="13" t="s">
        <v>83</v>
      </c>
      <c r="D11" s="3" t="n">
        <f aca="false">요약!$C$5-(1900+B11)</f>
        <v>56</v>
      </c>
      <c r="E11" s="13" t="s">
        <v>84</v>
      </c>
      <c r="F11" s="14" t="s">
        <v>85</v>
      </c>
      <c r="G11" s="13" t="s">
        <v>85</v>
      </c>
      <c r="H11" s="13" t="s">
        <v>86</v>
      </c>
      <c r="I11" s="13" t="s">
        <v>64</v>
      </c>
      <c r="J11" s="14" t="s">
        <v>58</v>
      </c>
      <c r="K11" s="3"/>
      <c r="L11" s="13" t="s">
        <v>70</v>
      </c>
      <c r="M11" s="4" t="s">
        <v>70</v>
      </c>
      <c r="N11" s="13" t="s">
        <v>71</v>
      </c>
      <c r="O11" s="4" t="s">
        <v>61</v>
      </c>
      <c r="P11" s="4"/>
    </row>
    <row r="12" customFormat="false" ht="26.85" hidden="false" customHeight="false" outlineLevel="0" collapsed="false">
      <c r="A12" s="3" t="n">
        <v>8</v>
      </c>
      <c r="B12" s="3" t="n">
        <v>70</v>
      </c>
      <c r="C12" s="3"/>
      <c r="D12" s="3" t="n">
        <f aca="false">요약!$C$5-(1900+B12)</f>
        <v>56</v>
      </c>
      <c r="E12" s="13" t="s">
        <v>84</v>
      </c>
      <c r="F12" s="14" t="s">
        <v>87</v>
      </c>
      <c r="G12" s="13" t="s">
        <v>87</v>
      </c>
      <c r="H12" s="13" t="s">
        <v>88</v>
      </c>
      <c r="I12" s="13" t="s">
        <v>69</v>
      </c>
      <c r="J12" s="14" t="s">
        <v>58</v>
      </c>
      <c r="K12" s="3"/>
      <c r="L12" s="13" t="s">
        <v>89</v>
      </c>
      <c r="M12" s="4" t="s">
        <v>89</v>
      </c>
      <c r="N12" s="13" t="s">
        <v>71</v>
      </c>
      <c r="O12" s="4" t="s">
        <v>61</v>
      </c>
      <c r="P12" s="4"/>
    </row>
    <row r="13" customFormat="false" ht="26.85" hidden="false" customHeight="false" outlineLevel="0" collapsed="false">
      <c r="A13" s="3" t="n">
        <v>9</v>
      </c>
      <c r="B13" s="3" t="n">
        <v>70</v>
      </c>
      <c r="C13" s="3"/>
      <c r="D13" s="3" t="n">
        <f aca="false">요약!$C$5-(1900+B13)</f>
        <v>56</v>
      </c>
      <c r="E13" s="13" t="s">
        <v>84</v>
      </c>
      <c r="F13" s="14" t="s">
        <v>90</v>
      </c>
      <c r="G13" s="13" t="s">
        <v>90</v>
      </c>
      <c r="H13" s="13" t="s">
        <v>91</v>
      </c>
      <c r="I13" s="13" t="s">
        <v>64</v>
      </c>
      <c r="J13" s="14" t="s">
        <v>58</v>
      </c>
      <c r="K13" s="3"/>
      <c r="L13" s="13" t="s">
        <v>92</v>
      </c>
      <c r="M13" s="4" t="s">
        <v>92</v>
      </c>
      <c r="N13" s="13" t="s">
        <v>71</v>
      </c>
      <c r="O13" s="4" t="s">
        <v>61</v>
      </c>
      <c r="P13" s="4"/>
    </row>
    <row r="14" customFormat="false" ht="26.85" hidden="false" customHeight="false" outlineLevel="0" collapsed="false">
      <c r="A14" s="3" t="n">
        <v>10</v>
      </c>
      <c r="B14" s="3" t="n">
        <v>70</v>
      </c>
      <c r="C14" s="3"/>
      <c r="D14" s="3" t="n">
        <f aca="false">요약!$C$5-(1900+B14)</f>
        <v>56</v>
      </c>
      <c r="E14" s="13" t="s">
        <v>84</v>
      </c>
      <c r="F14" s="14" t="s">
        <v>93</v>
      </c>
      <c r="G14" s="13" t="s">
        <v>93</v>
      </c>
      <c r="H14" s="13" t="s">
        <v>94</v>
      </c>
      <c r="I14" s="13" t="s">
        <v>64</v>
      </c>
      <c r="J14" s="14" t="s">
        <v>58</v>
      </c>
      <c r="K14" s="3"/>
      <c r="L14" s="13" t="s">
        <v>95</v>
      </c>
      <c r="M14" s="4" t="s">
        <v>95</v>
      </c>
      <c r="N14" s="3"/>
      <c r="O14" s="4" t="s">
        <v>61</v>
      </c>
      <c r="P14" s="4"/>
    </row>
    <row r="15" customFormat="false" ht="26.85" hidden="false" customHeight="false" outlineLevel="0" collapsed="false">
      <c r="A15" s="3" t="n">
        <v>11</v>
      </c>
      <c r="B15" s="3" t="n">
        <v>70</v>
      </c>
      <c r="C15" s="3"/>
      <c r="D15" s="3" t="n">
        <f aca="false">요약!$C$5-(1900+B15)</f>
        <v>56</v>
      </c>
      <c r="E15" s="13" t="s">
        <v>84</v>
      </c>
      <c r="F15" s="14" t="s">
        <v>96</v>
      </c>
      <c r="G15" s="13" t="s">
        <v>96</v>
      </c>
      <c r="H15" s="13" t="s">
        <v>97</v>
      </c>
      <c r="I15" s="13" t="s">
        <v>69</v>
      </c>
      <c r="J15" s="14" t="s">
        <v>58</v>
      </c>
      <c r="K15" s="3"/>
      <c r="L15" s="13" t="s">
        <v>92</v>
      </c>
      <c r="M15" s="4" t="s">
        <v>92</v>
      </c>
      <c r="N15" s="13" t="s">
        <v>71</v>
      </c>
      <c r="O15" s="4" t="s">
        <v>61</v>
      </c>
      <c r="P15" s="4"/>
    </row>
    <row r="16" customFormat="false" ht="26.85" hidden="false" customHeight="false" outlineLevel="0" collapsed="false">
      <c r="A16" s="3" t="n">
        <v>12</v>
      </c>
      <c r="B16" s="3" t="n">
        <v>70</v>
      </c>
      <c r="C16" s="3"/>
      <c r="D16" s="3" t="n">
        <f aca="false">요약!$C$5-(1900+B16)</f>
        <v>56</v>
      </c>
      <c r="E16" s="13" t="s">
        <v>84</v>
      </c>
      <c r="F16" s="14" t="s">
        <v>98</v>
      </c>
      <c r="G16" s="13" t="s">
        <v>98</v>
      </c>
      <c r="H16" s="13" t="s">
        <v>99</v>
      </c>
      <c r="I16" s="13" t="s">
        <v>69</v>
      </c>
      <c r="J16" s="14" t="s">
        <v>58</v>
      </c>
      <c r="K16" s="3"/>
      <c r="L16" s="13" t="s">
        <v>100</v>
      </c>
      <c r="M16" s="4" t="s">
        <v>100</v>
      </c>
      <c r="N16" s="13" t="s">
        <v>101</v>
      </c>
      <c r="O16" s="4" t="s">
        <v>61</v>
      </c>
      <c r="P16" s="4"/>
    </row>
    <row r="17" customFormat="false" ht="26.85" hidden="false" customHeight="false" outlineLevel="0" collapsed="false">
      <c r="A17" s="3" t="n">
        <v>13</v>
      </c>
      <c r="B17" s="3" t="n">
        <v>70</v>
      </c>
      <c r="C17" s="13" t="s">
        <v>83</v>
      </c>
      <c r="D17" s="3" t="n">
        <f aca="false">요약!$C$5-(1900+B17)</f>
        <v>56</v>
      </c>
      <c r="E17" s="13" t="s">
        <v>84</v>
      </c>
      <c r="F17" s="14" t="s">
        <v>102</v>
      </c>
      <c r="G17" s="13" t="s">
        <v>102</v>
      </c>
      <c r="H17" s="13" t="s">
        <v>103</v>
      </c>
      <c r="I17" s="13" t="s">
        <v>69</v>
      </c>
      <c r="J17" s="14" t="s">
        <v>58</v>
      </c>
      <c r="K17" s="3"/>
      <c r="L17" s="13" t="s">
        <v>104</v>
      </c>
      <c r="M17" s="4" t="s">
        <v>104</v>
      </c>
      <c r="N17" s="13" t="s">
        <v>105</v>
      </c>
      <c r="O17" s="4" t="s">
        <v>61</v>
      </c>
      <c r="P17" s="4"/>
    </row>
    <row r="18" customFormat="false" ht="26.85" hidden="false" customHeight="false" outlineLevel="0" collapsed="false">
      <c r="A18" s="3" t="n">
        <v>14</v>
      </c>
      <c r="B18" s="3" t="n">
        <v>71</v>
      </c>
      <c r="C18" s="3"/>
      <c r="D18" s="3" t="n">
        <f aca="false">요약!$C$5-(1900+B18)</f>
        <v>55</v>
      </c>
      <c r="E18" s="13" t="s">
        <v>106</v>
      </c>
      <c r="F18" s="14" t="s">
        <v>107</v>
      </c>
      <c r="G18" s="13" t="s">
        <v>107</v>
      </c>
      <c r="H18" s="13" t="s">
        <v>108</v>
      </c>
      <c r="I18" s="13" t="s">
        <v>64</v>
      </c>
      <c r="J18" s="14" t="s">
        <v>58</v>
      </c>
      <c r="K18" s="3"/>
      <c r="L18" s="13" t="s">
        <v>65</v>
      </c>
      <c r="M18" s="4" t="s">
        <v>65</v>
      </c>
      <c r="N18" s="13" t="s">
        <v>66</v>
      </c>
      <c r="O18" s="4" t="s">
        <v>61</v>
      </c>
      <c r="P18" s="4"/>
    </row>
    <row r="19" customFormat="false" ht="26.85" hidden="false" customHeight="false" outlineLevel="0" collapsed="false">
      <c r="A19" s="3" t="n">
        <v>15</v>
      </c>
      <c r="B19" s="3" t="n">
        <v>71</v>
      </c>
      <c r="C19" s="3"/>
      <c r="D19" s="3" t="n">
        <f aca="false">요약!$C$5-(1900+B19)</f>
        <v>55</v>
      </c>
      <c r="E19" s="13" t="s">
        <v>106</v>
      </c>
      <c r="F19" s="15" t="s">
        <v>109</v>
      </c>
      <c r="G19" s="3" t="s">
        <v>109</v>
      </c>
      <c r="H19" s="13" t="s">
        <v>110</v>
      </c>
      <c r="I19" s="13" t="s">
        <v>64</v>
      </c>
      <c r="J19" s="14" t="s">
        <v>58</v>
      </c>
      <c r="K19" s="3"/>
      <c r="L19" s="13" t="s">
        <v>70</v>
      </c>
      <c r="M19" s="4" t="s">
        <v>70</v>
      </c>
      <c r="N19" s="13" t="s">
        <v>71</v>
      </c>
      <c r="O19" s="4" t="s">
        <v>61</v>
      </c>
      <c r="P19" s="4"/>
    </row>
    <row r="20" customFormat="false" ht="26.85" hidden="false" customHeight="false" outlineLevel="0" collapsed="false">
      <c r="A20" s="3" t="n">
        <v>16</v>
      </c>
      <c r="B20" s="3" t="n">
        <v>72</v>
      </c>
      <c r="C20" s="13" t="s">
        <v>83</v>
      </c>
      <c r="D20" s="3" t="n">
        <f aca="false">요약!$C$5-(1900+B20)</f>
        <v>54</v>
      </c>
      <c r="E20" s="13" t="s">
        <v>111</v>
      </c>
      <c r="F20" s="14" t="s">
        <v>107</v>
      </c>
      <c r="G20" s="13" t="s">
        <v>107</v>
      </c>
      <c r="H20" s="13" t="s">
        <v>112</v>
      </c>
      <c r="I20" s="13" t="s">
        <v>64</v>
      </c>
      <c r="J20" s="14" t="s">
        <v>58</v>
      </c>
      <c r="K20" s="3"/>
      <c r="L20" s="13" t="s">
        <v>113</v>
      </c>
      <c r="M20" s="4" t="s">
        <v>113</v>
      </c>
      <c r="N20" s="13" t="s">
        <v>66</v>
      </c>
      <c r="O20" s="4" t="s">
        <v>61</v>
      </c>
      <c r="P20" s="4"/>
    </row>
    <row r="21" customFormat="false" ht="26.85" hidden="false" customHeight="false" outlineLevel="0" collapsed="false">
      <c r="A21" s="3" t="n">
        <v>17</v>
      </c>
      <c r="B21" s="3" t="n">
        <v>72</v>
      </c>
      <c r="C21" s="3"/>
      <c r="D21" s="3" t="n">
        <f aca="false">요약!$C$5-(1900+B21)</f>
        <v>54</v>
      </c>
      <c r="E21" s="13" t="s">
        <v>111</v>
      </c>
      <c r="F21" s="14" t="s">
        <v>114</v>
      </c>
      <c r="G21" s="13" t="s">
        <v>114</v>
      </c>
      <c r="H21" s="13" t="s">
        <v>115</v>
      </c>
      <c r="I21" s="13" t="s">
        <v>64</v>
      </c>
      <c r="J21" s="14" t="s">
        <v>58</v>
      </c>
      <c r="K21" s="3"/>
      <c r="L21" s="13" t="s">
        <v>116</v>
      </c>
      <c r="M21" s="4" t="s">
        <v>116</v>
      </c>
      <c r="N21" s="13" t="s">
        <v>105</v>
      </c>
      <c r="O21" s="4" t="s">
        <v>61</v>
      </c>
      <c r="P21" s="4"/>
    </row>
    <row r="22" customFormat="false" ht="26.85" hidden="false" customHeight="false" outlineLevel="0" collapsed="false">
      <c r="A22" s="3" t="n">
        <v>18</v>
      </c>
      <c r="B22" s="3" t="n">
        <v>72</v>
      </c>
      <c r="C22" s="3"/>
      <c r="D22" s="3" t="n">
        <f aca="false">요약!$C$5-(1900+B22)</f>
        <v>54</v>
      </c>
      <c r="E22" s="13" t="s">
        <v>111</v>
      </c>
      <c r="F22" s="14" t="s">
        <v>72</v>
      </c>
      <c r="G22" s="13" t="s">
        <v>72</v>
      </c>
      <c r="H22" s="13" t="s">
        <v>117</v>
      </c>
      <c r="I22" s="13" t="s">
        <v>64</v>
      </c>
      <c r="J22" s="14" t="s">
        <v>58</v>
      </c>
      <c r="K22" s="3"/>
      <c r="L22" s="13" t="s">
        <v>118</v>
      </c>
      <c r="M22" s="4" t="s">
        <v>118</v>
      </c>
      <c r="N22" s="3"/>
      <c r="O22" s="4" t="s">
        <v>61</v>
      </c>
      <c r="P22" s="4"/>
    </row>
    <row r="23" customFormat="false" ht="26.85" hidden="false" customHeight="false" outlineLevel="0" collapsed="false">
      <c r="A23" s="3" t="n">
        <v>19</v>
      </c>
      <c r="B23" s="3" t="n">
        <v>73</v>
      </c>
      <c r="C23" s="3"/>
      <c r="D23" s="3" t="n">
        <f aca="false">요약!$C$5-(1900+B23)</f>
        <v>53</v>
      </c>
      <c r="E23" s="13" t="s">
        <v>119</v>
      </c>
      <c r="F23" s="14" t="s">
        <v>120</v>
      </c>
      <c r="G23" s="13" t="s">
        <v>120</v>
      </c>
      <c r="H23" s="13" t="s">
        <v>121</v>
      </c>
      <c r="I23" s="13" t="s">
        <v>69</v>
      </c>
      <c r="J23" s="14" t="s">
        <v>58</v>
      </c>
      <c r="K23" s="3"/>
      <c r="L23" s="13" t="s">
        <v>122</v>
      </c>
      <c r="M23" s="4" t="s">
        <v>122</v>
      </c>
      <c r="N23" s="13" t="s">
        <v>71</v>
      </c>
      <c r="O23" s="4" t="s">
        <v>61</v>
      </c>
      <c r="P23" s="4"/>
    </row>
    <row r="24" customFormat="false" ht="26.85" hidden="false" customHeight="false" outlineLevel="0" collapsed="false">
      <c r="A24" s="3" t="n">
        <v>20</v>
      </c>
      <c r="B24" s="3" t="n">
        <v>73</v>
      </c>
      <c r="C24" s="3"/>
      <c r="D24" s="3" t="n">
        <f aca="false">요약!$C$5-(1900+B24)</f>
        <v>53</v>
      </c>
      <c r="E24" s="13" t="s">
        <v>119</v>
      </c>
      <c r="F24" s="14" t="s">
        <v>55</v>
      </c>
      <c r="G24" s="13" t="s">
        <v>55</v>
      </c>
      <c r="H24" s="13" t="s">
        <v>123</v>
      </c>
      <c r="I24" s="13" t="s">
        <v>64</v>
      </c>
      <c r="J24" s="14" t="s">
        <v>58</v>
      </c>
      <c r="K24" s="3"/>
      <c r="L24" s="13" t="s">
        <v>124</v>
      </c>
      <c r="M24" s="4" t="s">
        <v>124</v>
      </c>
      <c r="N24" s="13" t="s">
        <v>71</v>
      </c>
      <c r="O24" s="4" t="s">
        <v>61</v>
      </c>
      <c r="P24" s="4"/>
    </row>
    <row r="25" customFormat="false" ht="26.85" hidden="false" customHeight="false" outlineLevel="0" collapsed="false">
      <c r="A25" s="3" t="n">
        <v>21</v>
      </c>
      <c r="B25" s="3" t="n">
        <v>73</v>
      </c>
      <c r="C25" s="3"/>
      <c r="D25" s="3" t="n">
        <f aca="false">요약!$C$5-(1900+B25)</f>
        <v>53</v>
      </c>
      <c r="E25" s="13" t="s">
        <v>119</v>
      </c>
      <c r="F25" s="15" t="s">
        <v>109</v>
      </c>
      <c r="G25" s="3" t="s">
        <v>109</v>
      </c>
      <c r="H25" s="13" t="s">
        <v>125</v>
      </c>
      <c r="I25" s="13" t="s">
        <v>64</v>
      </c>
      <c r="J25" s="14" t="s">
        <v>58</v>
      </c>
      <c r="K25" s="3"/>
      <c r="L25" s="13" t="s">
        <v>126</v>
      </c>
      <c r="M25" s="4" t="s">
        <v>126</v>
      </c>
      <c r="N25" s="13" t="s">
        <v>71</v>
      </c>
      <c r="O25" s="4" t="s">
        <v>61</v>
      </c>
      <c r="P25" s="4"/>
    </row>
    <row r="26" customFormat="false" ht="26.85" hidden="false" customHeight="false" outlineLevel="0" collapsed="false">
      <c r="A26" s="3" t="n">
        <v>22</v>
      </c>
      <c r="B26" s="3" t="n">
        <v>73</v>
      </c>
      <c r="C26" s="3"/>
      <c r="D26" s="3" t="n">
        <f aca="false">요약!$C$5-(1900+B26)</f>
        <v>53</v>
      </c>
      <c r="E26" s="13" t="s">
        <v>119</v>
      </c>
      <c r="F26" s="14" t="s">
        <v>67</v>
      </c>
      <c r="G26" s="13" t="s">
        <v>67</v>
      </c>
      <c r="H26" s="13" t="s">
        <v>127</v>
      </c>
      <c r="I26" s="13" t="s">
        <v>64</v>
      </c>
      <c r="J26" s="14" t="s">
        <v>58</v>
      </c>
      <c r="K26" s="3"/>
      <c r="L26" s="13" t="s">
        <v>128</v>
      </c>
      <c r="M26" s="4" t="s">
        <v>128</v>
      </c>
      <c r="N26" s="13" t="s">
        <v>71</v>
      </c>
      <c r="O26" s="4" t="s">
        <v>61</v>
      </c>
      <c r="P26" s="4"/>
    </row>
    <row r="27" customFormat="false" ht="26.85" hidden="false" customHeight="false" outlineLevel="0" collapsed="false">
      <c r="A27" s="3" t="n">
        <v>23</v>
      </c>
      <c r="B27" s="3" t="n">
        <v>73</v>
      </c>
      <c r="C27" s="3"/>
      <c r="D27" s="3" t="n">
        <f aca="false">요약!$C$5-(1900+B27)</f>
        <v>53</v>
      </c>
      <c r="E27" s="13" t="s">
        <v>119</v>
      </c>
      <c r="F27" s="14" t="s">
        <v>129</v>
      </c>
      <c r="G27" s="13" t="s">
        <v>129</v>
      </c>
      <c r="H27" s="13" t="s">
        <v>130</v>
      </c>
      <c r="I27" s="13" t="s">
        <v>131</v>
      </c>
      <c r="J27" s="14" t="s">
        <v>58</v>
      </c>
      <c r="K27" s="3"/>
      <c r="L27" s="13" t="s">
        <v>100</v>
      </c>
      <c r="M27" s="4" t="s">
        <v>100</v>
      </c>
      <c r="N27" s="13" t="s">
        <v>101</v>
      </c>
      <c r="O27" s="4" t="s">
        <v>61</v>
      </c>
      <c r="P27" s="4"/>
    </row>
    <row r="28" customFormat="false" ht="26.85" hidden="false" customHeight="false" outlineLevel="0" collapsed="false">
      <c r="A28" s="3" t="n">
        <v>24</v>
      </c>
      <c r="B28" s="3" t="n">
        <v>73</v>
      </c>
      <c r="C28" s="3"/>
      <c r="D28" s="3" t="n">
        <f aca="false">요약!$C$5-(1900+B28)</f>
        <v>53</v>
      </c>
      <c r="E28" s="13" t="s">
        <v>119</v>
      </c>
      <c r="F28" s="14" t="s">
        <v>132</v>
      </c>
      <c r="G28" s="13" t="s">
        <v>132</v>
      </c>
      <c r="H28" s="13" t="s">
        <v>133</v>
      </c>
      <c r="I28" s="13" t="s">
        <v>64</v>
      </c>
      <c r="J28" s="14" t="s">
        <v>58</v>
      </c>
      <c r="K28" s="3"/>
      <c r="L28" s="13" t="s">
        <v>77</v>
      </c>
      <c r="M28" s="4" t="s">
        <v>77</v>
      </c>
      <c r="N28" s="13" t="s">
        <v>71</v>
      </c>
      <c r="O28" s="4" t="s">
        <v>61</v>
      </c>
      <c r="P28" s="4"/>
    </row>
    <row r="29" customFormat="false" ht="26.85" hidden="false" customHeight="false" outlineLevel="0" collapsed="false">
      <c r="A29" s="3" t="n">
        <v>25</v>
      </c>
      <c r="B29" s="3" t="n">
        <v>73</v>
      </c>
      <c r="C29" s="3"/>
      <c r="D29" s="3" t="n">
        <f aca="false">요약!$C$5-(1900+B29)</f>
        <v>53</v>
      </c>
      <c r="E29" s="13" t="s">
        <v>119</v>
      </c>
      <c r="F29" s="14" t="s">
        <v>87</v>
      </c>
      <c r="G29" s="13" t="s">
        <v>87</v>
      </c>
      <c r="H29" s="13" t="s">
        <v>134</v>
      </c>
      <c r="I29" s="13" t="s">
        <v>64</v>
      </c>
      <c r="J29" s="14" t="s">
        <v>58</v>
      </c>
      <c r="K29" s="16" t="s">
        <v>135</v>
      </c>
      <c r="L29" s="13" t="s">
        <v>89</v>
      </c>
      <c r="M29" s="4" t="s">
        <v>89</v>
      </c>
      <c r="N29" s="13" t="s">
        <v>71</v>
      </c>
      <c r="O29" s="4" t="s">
        <v>61</v>
      </c>
      <c r="P29" s="4"/>
    </row>
    <row r="30" customFormat="false" ht="26.85" hidden="false" customHeight="false" outlineLevel="0" collapsed="false">
      <c r="A30" s="3" t="n">
        <v>26</v>
      </c>
      <c r="B30" s="3" t="n">
        <v>73</v>
      </c>
      <c r="C30" s="3"/>
      <c r="D30" s="3" t="n">
        <f aca="false">요약!$C$5-(1900+B30)</f>
        <v>53</v>
      </c>
      <c r="E30" s="13" t="s">
        <v>119</v>
      </c>
      <c r="F30" s="14" t="s">
        <v>87</v>
      </c>
      <c r="G30" s="13" t="s">
        <v>87</v>
      </c>
      <c r="H30" s="13" t="s">
        <v>136</v>
      </c>
      <c r="I30" s="13" t="s">
        <v>64</v>
      </c>
      <c r="J30" s="14" t="s">
        <v>58</v>
      </c>
      <c r="K30" s="16" t="s">
        <v>135</v>
      </c>
      <c r="L30" s="13" t="s">
        <v>137</v>
      </c>
      <c r="M30" s="4" t="s">
        <v>137</v>
      </c>
      <c r="N30" s="3"/>
      <c r="O30" s="4" t="s">
        <v>61</v>
      </c>
      <c r="P30" s="4"/>
    </row>
    <row r="31" customFormat="false" ht="26.85" hidden="false" customHeight="false" outlineLevel="0" collapsed="false">
      <c r="A31" s="3" t="n">
        <v>27</v>
      </c>
      <c r="B31" s="3" t="n">
        <v>73</v>
      </c>
      <c r="C31" s="3"/>
      <c r="D31" s="3" t="n">
        <f aca="false">요약!$C$5-(1900+B31)</f>
        <v>53</v>
      </c>
      <c r="E31" s="13" t="s">
        <v>119</v>
      </c>
      <c r="F31" s="14" t="s">
        <v>138</v>
      </c>
      <c r="G31" s="13" t="s">
        <v>138</v>
      </c>
      <c r="H31" s="13" t="s">
        <v>139</v>
      </c>
      <c r="I31" s="13" t="s">
        <v>64</v>
      </c>
      <c r="J31" s="14" t="s">
        <v>58</v>
      </c>
      <c r="K31" s="3"/>
      <c r="L31" s="13" t="s">
        <v>140</v>
      </c>
      <c r="M31" s="4" t="s">
        <v>140</v>
      </c>
      <c r="N31" s="13" t="s">
        <v>101</v>
      </c>
      <c r="O31" s="4" t="s">
        <v>61</v>
      </c>
      <c r="P31" s="4"/>
    </row>
    <row r="32" customFormat="false" ht="26.85" hidden="false" customHeight="false" outlineLevel="0" collapsed="false">
      <c r="A32" s="3" t="n">
        <v>28</v>
      </c>
      <c r="B32" s="3" t="n">
        <v>73</v>
      </c>
      <c r="C32" s="3"/>
      <c r="D32" s="3" t="n">
        <f aca="false">요약!$C$5-(1900+B32)</f>
        <v>53</v>
      </c>
      <c r="E32" s="13" t="s">
        <v>119</v>
      </c>
      <c r="F32" s="13" t="s">
        <v>141</v>
      </c>
      <c r="G32" s="13" t="s">
        <v>141</v>
      </c>
      <c r="H32" s="13" t="s">
        <v>142</v>
      </c>
      <c r="I32" s="13" t="s">
        <v>143</v>
      </c>
      <c r="J32" s="13" t="s">
        <v>144</v>
      </c>
      <c r="K32" s="3"/>
      <c r="L32" s="13" t="s">
        <v>145</v>
      </c>
      <c r="M32" s="4" t="s">
        <v>146</v>
      </c>
      <c r="N32" s="13" t="s">
        <v>147</v>
      </c>
      <c r="O32" s="4" t="s">
        <v>61</v>
      </c>
      <c r="P32" s="4"/>
    </row>
    <row r="33" customFormat="false" ht="26.85" hidden="false" customHeight="false" outlineLevel="0" collapsed="false">
      <c r="A33" s="3" t="n">
        <v>29</v>
      </c>
      <c r="B33" s="3" t="n">
        <v>73</v>
      </c>
      <c r="C33" s="3"/>
      <c r="D33" s="3" t="n">
        <f aca="false">요약!$C$5-(1900+B33)</f>
        <v>53</v>
      </c>
      <c r="E33" s="13" t="s">
        <v>119</v>
      </c>
      <c r="F33" s="13" t="s">
        <v>93</v>
      </c>
      <c r="G33" s="13" t="s">
        <v>93</v>
      </c>
      <c r="H33" s="13" t="s">
        <v>148</v>
      </c>
      <c r="I33" s="13" t="s">
        <v>143</v>
      </c>
      <c r="J33" s="13" t="s">
        <v>144</v>
      </c>
      <c r="K33" s="16" t="s">
        <v>135</v>
      </c>
      <c r="L33" s="13" t="s">
        <v>149</v>
      </c>
      <c r="M33" s="4" t="s">
        <v>149</v>
      </c>
      <c r="N33" s="13" t="s">
        <v>71</v>
      </c>
      <c r="O33" s="4" t="s">
        <v>61</v>
      </c>
      <c r="P33" s="4"/>
    </row>
    <row r="34" customFormat="false" ht="26.85" hidden="false" customHeight="false" outlineLevel="0" collapsed="false">
      <c r="A34" s="3" t="n">
        <v>30</v>
      </c>
      <c r="B34" s="3" t="n">
        <v>73</v>
      </c>
      <c r="C34" s="3"/>
      <c r="D34" s="3" t="n">
        <f aca="false">요약!$C$5-(1900+B34)</f>
        <v>53</v>
      </c>
      <c r="E34" s="13" t="s">
        <v>119</v>
      </c>
      <c r="F34" s="3" t="s">
        <v>150</v>
      </c>
      <c r="G34" s="3" t="s">
        <v>150</v>
      </c>
      <c r="H34" s="13" t="s">
        <v>151</v>
      </c>
      <c r="I34" s="13" t="s">
        <v>143</v>
      </c>
      <c r="J34" s="13" t="s">
        <v>144</v>
      </c>
      <c r="K34" s="3"/>
      <c r="L34" s="13" t="s">
        <v>70</v>
      </c>
      <c r="M34" s="4" t="s">
        <v>70</v>
      </c>
      <c r="N34" s="13" t="s">
        <v>71</v>
      </c>
      <c r="O34" s="4" t="s">
        <v>61</v>
      </c>
      <c r="P34" s="4" t="s">
        <v>82</v>
      </c>
    </row>
    <row r="35" customFormat="false" ht="26.85" hidden="false" customHeight="false" outlineLevel="0" collapsed="false">
      <c r="A35" s="3" t="n">
        <v>31</v>
      </c>
      <c r="B35" s="3" t="n">
        <v>73</v>
      </c>
      <c r="C35" s="3"/>
      <c r="D35" s="3" t="n">
        <f aca="false">요약!$C$5-(1900+B35)</f>
        <v>53</v>
      </c>
      <c r="E35" s="13" t="s">
        <v>119</v>
      </c>
      <c r="F35" s="13" t="s">
        <v>67</v>
      </c>
      <c r="G35" s="13" t="s">
        <v>67</v>
      </c>
      <c r="H35" s="13" t="s">
        <v>152</v>
      </c>
      <c r="I35" s="13" t="s">
        <v>143</v>
      </c>
      <c r="J35" s="13" t="s">
        <v>144</v>
      </c>
      <c r="K35" s="3"/>
      <c r="L35" s="3"/>
      <c r="M35" s="4" t="s">
        <v>153</v>
      </c>
      <c r="N35" s="3"/>
      <c r="O35" s="4" t="s">
        <v>61</v>
      </c>
      <c r="P35" s="4" t="s">
        <v>154</v>
      </c>
    </row>
    <row r="36" customFormat="false" ht="26.85" hidden="false" customHeight="false" outlineLevel="0" collapsed="false">
      <c r="A36" s="3" t="n">
        <v>32</v>
      </c>
      <c r="B36" s="3" t="n">
        <v>74</v>
      </c>
      <c r="C36" s="3"/>
      <c r="D36" s="3" t="n">
        <f aca="false">요약!$C$5-(1900+B36)</f>
        <v>52</v>
      </c>
      <c r="E36" s="13" t="s">
        <v>155</v>
      </c>
      <c r="F36" s="15" t="s">
        <v>156</v>
      </c>
      <c r="G36" s="3" t="s">
        <v>156</v>
      </c>
      <c r="H36" s="13" t="s">
        <v>157</v>
      </c>
      <c r="I36" s="13" t="s">
        <v>158</v>
      </c>
      <c r="J36" s="14" t="s">
        <v>58</v>
      </c>
      <c r="K36" s="3"/>
      <c r="L36" s="13" t="s">
        <v>77</v>
      </c>
      <c r="M36" s="4" t="s">
        <v>77</v>
      </c>
      <c r="N36" s="13" t="s">
        <v>71</v>
      </c>
      <c r="O36" s="4" t="s">
        <v>61</v>
      </c>
      <c r="P36" s="4"/>
    </row>
    <row r="37" customFormat="false" ht="26.85" hidden="false" customHeight="false" outlineLevel="0" collapsed="false">
      <c r="A37" s="3" t="n">
        <v>33</v>
      </c>
      <c r="B37" s="3" t="n">
        <v>74</v>
      </c>
      <c r="C37" s="3"/>
      <c r="D37" s="3" t="n">
        <f aca="false">요약!$C$5-(1900+B37)</f>
        <v>52</v>
      </c>
      <c r="E37" s="13" t="s">
        <v>155</v>
      </c>
      <c r="F37" s="3" t="s">
        <v>150</v>
      </c>
      <c r="G37" s="3" t="s">
        <v>150</v>
      </c>
      <c r="H37" s="13" t="s">
        <v>159</v>
      </c>
      <c r="I37" s="13" t="s">
        <v>143</v>
      </c>
      <c r="J37" s="13" t="s">
        <v>144</v>
      </c>
      <c r="K37" s="16" t="s">
        <v>135</v>
      </c>
      <c r="L37" s="13" t="s">
        <v>124</v>
      </c>
      <c r="M37" s="4" t="s">
        <v>124</v>
      </c>
      <c r="N37" s="13" t="s">
        <v>71</v>
      </c>
      <c r="O37" s="4" t="s">
        <v>61</v>
      </c>
      <c r="P37" s="4"/>
    </row>
    <row r="38" customFormat="false" ht="26.85" hidden="false" customHeight="false" outlineLevel="0" collapsed="false">
      <c r="A38" s="3" t="n">
        <v>34</v>
      </c>
      <c r="B38" s="3" t="n">
        <v>74</v>
      </c>
      <c r="C38" s="3"/>
      <c r="D38" s="3" t="n">
        <f aca="false">요약!$C$5-(1900+B38)</f>
        <v>52</v>
      </c>
      <c r="E38" s="13" t="s">
        <v>155</v>
      </c>
      <c r="F38" s="3" t="s">
        <v>109</v>
      </c>
      <c r="G38" s="3" t="s">
        <v>109</v>
      </c>
      <c r="H38" s="13" t="s">
        <v>160</v>
      </c>
      <c r="I38" s="13" t="s">
        <v>143</v>
      </c>
      <c r="J38" s="13" t="s">
        <v>144</v>
      </c>
      <c r="K38" s="3"/>
      <c r="L38" s="13" t="s">
        <v>116</v>
      </c>
      <c r="M38" s="4" t="s">
        <v>161</v>
      </c>
      <c r="N38" s="13" t="s">
        <v>105</v>
      </c>
      <c r="O38" s="4" t="s">
        <v>61</v>
      </c>
      <c r="P38" s="4"/>
    </row>
    <row r="39" customFormat="false" ht="26.85" hidden="false" customHeight="false" outlineLevel="0" collapsed="false">
      <c r="A39" s="3" t="n">
        <v>35</v>
      </c>
      <c r="B39" s="3" t="n">
        <v>74</v>
      </c>
      <c r="C39" s="3"/>
      <c r="D39" s="3" t="n">
        <f aca="false">요약!$C$5-(1900+B39)</f>
        <v>52</v>
      </c>
      <c r="E39" s="13" t="s">
        <v>155</v>
      </c>
      <c r="F39" s="3" t="s">
        <v>109</v>
      </c>
      <c r="G39" s="3" t="s">
        <v>109</v>
      </c>
      <c r="H39" s="13" t="s">
        <v>162</v>
      </c>
      <c r="I39" s="13" t="s">
        <v>143</v>
      </c>
      <c r="J39" s="13" t="s">
        <v>144</v>
      </c>
      <c r="K39" s="3"/>
      <c r="L39" s="13" t="s">
        <v>163</v>
      </c>
      <c r="M39" s="4" t="s">
        <v>164</v>
      </c>
      <c r="N39" s="3"/>
      <c r="O39" s="4" t="s">
        <v>61</v>
      </c>
      <c r="P39" s="4"/>
    </row>
    <row r="40" customFormat="false" ht="26.85" hidden="false" customHeight="false" outlineLevel="0" collapsed="false">
      <c r="A40" s="3" t="n">
        <v>36</v>
      </c>
      <c r="B40" s="3" t="n">
        <v>75</v>
      </c>
      <c r="C40" s="3"/>
      <c r="D40" s="3" t="n">
        <f aca="false">요약!$C$5-(1900+B40)</f>
        <v>51</v>
      </c>
      <c r="E40" s="13" t="s">
        <v>165</v>
      </c>
      <c r="F40" s="14" t="s">
        <v>96</v>
      </c>
      <c r="G40" s="13" t="s">
        <v>96</v>
      </c>
      <c r="H40" s="13" t="s">
        <v>166</v>
      </c>
      <c r="I40" s="13" t="s">
        <v>64</v>
      </c>
      <c r="J40" s="14" t="s">
        <v>58</v>
      </c>
      <c r="K40" s="3"/>
      <c r="L40" s="13" t="s">
        <v>92</v>
      </c>
      <c r="M40" s="4" t="s">
        <v>92</v>
      </c>
      <c r="N40" s="13" t="s">
        <v>71</v>
      </c>
      <c r="O40" s="4" t="s">
        <v>61</v>
      </c>
      <c r="P40" s="4"/>
    </row>
    <row r="41" customFormat="false" ht="26.85" hidden="false" customHeight="false" outlineLevel="0" collapsed="false">
      <c r="A41" s="3" t="n">
        <v>37</v>
      </c>
      <c r="B41" s="3" t="n">
        <v>75</v>
      </c>
      <c r="C41" s="3"/>
      <c r="D41" s="3" t="n">
        <f aca="false">요약!$C$5-(1900+B41)</f>
        <v>51</v>
      </c>
      <c r="E41" s="13" t="s">
        <v>165</v>
      </c>
      <c r="F41" s="14" t="s">
        <v>167</v>
      </c>
      <c r="G41" s="13" t="s">
        <v>167</v>
      </c>
      <c r="H41" s="13" t="s">
        <v>168</v>
      </c>
      <c r="I41" s="13" t="s">
        <v>131</v>
      </c>
      <c r="J41" s="14" t="s">
        <v>58</v>
      </c>
      <c r="K41" s="16" t="s">
        <v>135</v>
      </c>
      <c r="L41" s="13" t="s">
        <v>169</v>
      </c>
      <c r="M41" s="4" t="s">
        <v>170</v>
      </c>
      <c r="N41" s="13" t="s">
        <v>71</v>
      </c>
      <c r="O41" s="4" t="s">
        <v>61</v>
      </c>
      <c r="P41" s="4"/>
    </row>
    <row r="42" customFormat="false" ht="26.85" hidden="false" customHeight="false" outlineLevel="0" collapsed="false">
      <c r="A42" s="3" t="n">
        <v>38</v>
      </c>
      <c r="B42" s="3" t="n">
        <v>75</v>
      </c>
      <c r="C42" s="3"/>
      <c r="D42" s="3" t="n">
        <f aca="false">요약!$C$5-(1900+B42)</f>
        <v>51</v>
      </c>
      <c r="E42" s="13" t="s">
        <v>165</v>
      </c>
      <c r="F42" s="13" t="s">
        <v>141</v>
      </c>
      <c r="G42" s="13" t="s">
        <v>141</v>
      </c>
      <c r="H42" s="13" t="s">
        <v>171</v>
      </c>
      <c r="I42" s="13" t="s">
        <v>143</v>
      </c>
      <c r="J42" s="13" t="s">
        <v>144</v>
      </c>
      <c r="K42" s="16" t="s">
        <v>135</v>
      </c>
      <c r="L42" s="13" t="s">
        <v>70</v>
      </c>
      <c r="M42" s="4" t="s">
        <v>70</v>
      </c>
      <c r="N42" s="13" t="s">
        <v>71</v>
      </c>
      <c r="O42" s="4" t="s">
        <v>61</v>
      </c>
      <c r="P42" s="4"/>
    </row>
    <row r="43" customFormat="false" ht="26.85" hidden="false" customHeight="false" outlineLevel="0" collapsed="false">
      <c r="A43" s="3" t="n">
        <v>39</v>
      </c>
      <c r="B43" s="3" t="n">
        <v>75</v>
      </c>
      <c r="C43" s="13" t="s">
        <v>83</v>
      </c>
      <c r="D43" s="3" t="n">
        <f aca="false">요약!$C$5-(1900+B43)</f>
        <v>51</v>
      </c>
      <c r="E43" s="13" t="s">
        <v>165</v>
      </c>
      <c r="F43" s="13" t="s">
        <v>90</v>
      </c>
      <c r="G43" s="13" t="s">
        <v>90</v>
      </c>
      <c r="H43" s="13" t="s">
        <v>172</v>
      </c>
      <c r="I43" s="13" t="s">
        <v>143</v>
      </c>
      <c r="J43" s="13" t="s">
        <v>144</v>
      </c>
      <c r="K43" s="16" t="s">
        <v>135</v>
      </c>
      <c r="L43" s="13" t="s">
        <v>173</v>
      </c>
      <c r="M43" s="4" t="s">
        <v>173</v>
      </c>
      <c r="N43" s="3"/>
      <c r="O43" s="4" t="s">
        <v>61</v>
      </c>
      <c r="P43" s="4"/>
    </row>
    <row r="44" customFormat="false" ht="26.85" hidden="false" customHeight="false" outlineLevel="0" collapsed="false">
      <c r="A44" s="3" t="n">
        <v>40</v>
      </c>
      <c r="B44" s="3" t="n">
        <v>76</v>
      </c>
      <c r="C44" s="3"/>
      <c r="D44" s="3" t="n">
        <f aca="false">요약!$C$5-(1900+B44)</f>
        <v>50</v>
      </c>
      <c r="E44" s="13" t="s">
        <v>174</v>
      </c>
      <c r="F44" s="15" t="s">
        <v>156</v>
      </c>
      <c r="G44" s="3" t="s">
        <v>156</v>
      </c>
      <c r="H44" s="13" t="s">
        <v>175</v>
      </c>
      <c r="I44" s="13" t="s">
        <v>64</v>
      </c>
      <c r="J44" s="14" t="s">
        <v>58</v>
      </c>
      <c r="K44" s="3"/>
      <c r="L44" s="13" t="s">
        <v>176</v>
      </c>
      <c r="M44" s="4" t="s">
        <v>176</v>
      </c>
      <c r="N44" s="13" t="s">
        <v>105</v>
      </c>
      <c r="O44" s="4" t="s">
        <v>61</v>
      </c>
      <c r="P44" s="4"/>
    </row>
    <row r="45" customFormat="false" ht="26.85" hidden="false" customHeight="false" outlineLevel="0" collapsed="false">
      <c r="A45" s="3" t="n">
        <v>41</v>
      </c>
      <c r="B45" s="3" t="n">
        <v>76</v>
      </c>
      <c r="C45" s="3"/>
      <c r="D45" s="3" t="n">
        <f aca="false">요약!$C$5-(1900+B45)</f>
        <v>50</v>
      </c>
      <c r="E45" s="13" t="s">
        <v>174</v>
      </c>
      <c r="F45" s="14" t="s">
        <v>102</v>
      </c>
      <c r="G45" s="13" t="s">
        <v>102</v>
      </c>
      <c r="H45" s="13" t="s">
        <v>177</v>
      </c>
      <c r="I45" s="13" t="s">
        <v>64</v>
      </c>
      <c r="J45" s="14" t="s">
        <v>58</v>
      </c>
      <c r="K45" s="3"/>
      <c r="L45" s="13" t="s">
        <v>178</v>
      </c>
      <c r="M45" s="4" t="s">
        <v>178</v>
      </c>
      <c r="N45" s="3"/>
      <c r="O45" s="4" t="s">
        <v>61</v>
      </c>
      <c r="P45" s="4"/>
    </row>
    <row r="46" customFormat="false" ht="26.85" hidden="false" customHeight="false" outlineLevel="0" collapsed="false">
      <c r="A46" s="3" t="n">
        <v>42</v>
      </c>
      <c r="B46" s="3" t="n">
        <v>76</v>
      </c>
      <c r="C46" s="3"/>
      <c r="D46" s="3" t="n">
        <f aca="false">요약!$C$5-(1900+B46)</f>
        <v>50</v>
      </c>
      <c r="E46" s="13" t="s">
        <v>174</v>
      </c>
      <c r="F46" s="14" t="s">
        <v>67</v>
      </c>
      <c r="G46" s="13" t="s">
        <v>67</v>
      </c>
      <c r="H46" s="13" t="s">
        <v>179</v>
      </c>
      <c r="I46" s="13" t="s">
        <v>64</v>
      </c>
      <c r="J46" s="14" t="s">
        <v>58</v>
      </c>
      <c r="K46" s="16" t="s">
        <v>135</v>
      </c>
      <c r="L46" s="13" t="s">
        <v>128</v>
      </c>
      <c r="M46" s="4" t="s">
        <v>128</v>
      </c>
      <c r="N46" s="13" t="s">
        <v>71</v>
      </c>
      <c r="O46" s="4" t="s">
        <v>61</v>
      </c>
      <c r="P46" s="4"/>
    </row>
    <row r="47" customFormat="false" ht="26.85" hidden="false" customHeight="false" outlineLevel="0" collapsed="false">
      <c r="A47" s="3" t="n">
        <v>43</v>
      </c>
      <c r="B47" s="3" t="n">
        <v>76</v>
      </c>
      <c r="C47" s="3"/>
      <c r="D47" s="3" t="n">
        <f aca="false">요약!$C$5-(1900+B47)</f>
        <v>50</v>
      </c>
      <c r="E47" s="13" t="s">
        <v>174</v>
      </c>
      <c r="F47" s="13" t="s">
        <v>85</v>
      </c>
      <c r="G47" s="13" t="s">
        <v>85</v>
      </c>
      <c r="H47" s="13" t="s">
        <v>180</v>
      </c>
      <c r="I47" s="13" t="s">
        <v>181</v>
      </c>
      <c r="J47" s="13" t="s">
        <v>144</v>
      </c>
      <c r="K47" s="16" t="s">
        <v>135</v>
      </c>
      <c r="L47" s="13" t="s">
        <v>176</v>
      </c>
      <c r="M47" s="4" t="s">
        <v>176</v>
      </c>
      <c r="N47" s="13" t="s">
        <v>105</v>
      </c>
      <c r="O47" s="4" t="s">
        <v>61</v>
      </c>
      <c r="P47" s="4"/>
    </row>
    <row r="48" customFormat="false" ht="26.85" hidden="false" customHeight="false" outlineLevel="0" collapsed="false">
      <c r="A48" s="3" t="n">
        <v>44</v>
      </c>
      <c r="B48" s="3" t="n">
        <v>76</v>
      </c>
      <c r="C48" s="3"/>
      <c r="D48" s="3" t="n">
        <f aca="false">요약!$C$5-(1900+B48)</f>
        <v>50</v>
      </c>
      <c r="E48" s="13" t="s">
        <v>174</v>
      </c>
      <c r="F48" s="13" t="s">
        <v>87</v>
      </c>
      <c r="G48" s="13" t="s">
        <v>87</v>
      </c>
      <c r="H48" s="13" t="s">
        <v>182</v>
      </c>
      <c r="I48" s="13" t="s">
        <v>143</v>
      </c>
      <c r="J48" s="13" t="s">
        <v>144</v>
      </c>
      <c r="K48" s="3"/>
      <c r="L48" s="13" t="s">
        <v>140</v>
      </c>
      <c r="M48" s="4" t="s">
        <v>140</v>
      </c>
      <c r="N48" s="13" t="s">
        <v>101</v>
      </c>
      <c r="O48" s="4" t="s">
        <v>61</v>
      </c>
      <c r="P48" s="4"/>
    </row>
    <row r="49" customFormat="false" ht="26.85" hidden="false" customHeight="false" outlineLevel="0" collapsed="false">
      <c r="A49" s="3" t="n">
        <v>45</v>
      </c>
      <c r="B49" s="3" t="n">
        <v>76</v>
      </c>
      <c r="C49" s="3"/>
      <c r="D49" s="3" t="n">
        <f aca="false">요약!$C$5-(1900+B49)</f>
        <v>50</v>
      </c>
      <c r="E49" s="13" t="s">
        <v>174</v>
      </c>
      <c r="F49" s="13" t="s">
        <v>120</v>
      </c>
      <c r="G49" s="13" t="s">
        <v>120</v>
      </c>
      <c r="H49" s="13" t="s">
        <v>183</v>
      </c>
      <c r="I49" s="13" t="s">
        <v>143</v>
      </c>
      <c r="J49" s="13" t="s">
        <v>144</v>
      </c>
      <c r="K49" s="16" t="s">
        <v>184</v>
      </c>
      <c r="L49" s="13" t="s">
        <v>92</v>
      </c>
      <c r="M49" s="4" t="s">
        <v>92</v>
      </c>
      <c r="N49" s="13" t="s">
        <v>71</v>
      </c>
      <c r="O49" s="4" t="s">
        <v>61</v>
      </c>
      <c r="P49" s="4"/>
    </row>
    <row r="50" customFormat="false" ht="26.85" hidden="false" customHeight="false" outlineLevel="0" collapsed="false">
      <c r="A50" s="3" t="n">
        <v>46</v>
      </c>
      <c r="B50" s="3" t="n">
        <v>76</v>
      </c>
      <c r="C50" s="3"/>
      <c r="D50" s="3" t="n">
        <f aca="false">요약!$C$5-(1900+B50)</f>
        <v>50</v>
      </c>
      <c r="E50" s="13" t="s">
        <v>174</v>
      </c>
      <c r="F50" s="13" t="s">
        <v>67</v>
      </c>
      <c r="G50" s="13" t="s">
        <v>67</v>
      </c>
      <c r="H50" s="13" t="s">
        <v>185</v>
      </c>
      <c r="I50" s="13" t="s">
        <v>143</v>
      </c>
      <c r="J50" s="13" t="s">
        <v>144</v>
      </c>
      <c r="K50" s="16" t="s">
        <v>135</v>
      </c>
      <c r="L50" s="13" t="s">
        <v>186</v>
      </c>
      <c r="M50" s="4" t="s">
        <v>186</v>
      </c>
      <c r="N50" s="3"/>
      <c r="O50" s="4" t="s">
        <v>61</v>
      </c>
      <c r="P50" s="4"/>
    </row>
    <row r="51" customFormat="false" ht="26.85" hidden="false" customHeight="false" outlineLevel="0" collapsed="false">
      <c r="A51" s="3" t="n">
        <v>47</v>
      </c>
      <c r="B51" s="3" t="n">
        <v>76</v>
      </c>
      <c r="C51" s="3"/>
      <c r="D51" s="3" t="n">
        <f aca="false">요약!$C$5-(1900+B51)</f>
        <v>50</v>
      </c>
      <c r="E51" s="13" t="s">
        <v>174</v>
      </c>
      <c r="F51" s="13" t="s">
        <v>129</v>
      </c>
      <c r="G51" s="13" t="s">
        <v>129</v>
      </c>
      <c r="H51" s="13" t="s">
        <v>187</v>
      </c>
      <c r="I51" s="13" t="s">
        <v>143</v>
      </c>
      <c r="J51" s="13" t="s">
        <v>144</v>
      </c>
      <c r="K51" s="16" t="s">
        <v>135</v>
      </c>
      <c r="L51" s="13" t="s">
        <v>140</v>
      </c>
      <c r="M51" s="4" t="s">
        <v>140</v>
      </c>
      <c r="N51" s="13" t="s">
        <v>101</v>
      </c>
      <c r="O51" s="4" t="s">
        <v>61</v>
      </c>
      <c r="P51" s="4"/>
    </row>
    <row r="52" customFormat="false" ht="26.85" hidden="false" customHeight="false" outlineLevel="0" collapsed="false">
      <c r="A52" s="3" t="n">
        <v>48</v>
      </c>
      <c r="B52" s="3" t="n">
        <v>76</v>
      </c>
      <c r="C52" s="3"/>
      <c r="D52" s="3" t="n">
        <f aca="false">요약!$C$5-(1900+B52)</f>
        <v>50</v>
      </c>
      <c r="E52" s="13" t="s">
        <v>174</v>
      </c>
      <c r="F52" s="13" t="s">
        <v>79</v>
      </c>
      <c r="G52" s="13" t="s">
        <v>79</v>
      </c>
      <c r="H52" s="13" t="s">
        <v>188</v>
      </c>
      <c r="I52" s="3"/>
      <c r="J52" s="13" t="s">
        <v>189</v>
      </c>
      <c r="K52" s="16" t="s">
        <v>135</v>
      </c>
      <c r="L52" s="13" t="s">
        <v>70</v>
      </c>
      <c r="M52" s="4" t="s">
        <v>70</v>
      </c>
      <c r="N52" s="13" t="s">
        <v>71</v>
      </c>
      <c r="O52" s="4" t="s">
        <v>61</v>
      </c>
      <c r="P52" s="4" t="s">
        <v>190</v>
      </c>
    </row>
    <row r="53" customFormat="false" ht="26.85" hidden="false" customHeight="false" outlineLevel="0" collapsed="false">
      <c r="A53" s="3" t="n">
        <v>49</v>
      </c>
      <c r="B53" s="3" t="n">
        <v>76</v>
      </c>
      <c r="C53" s="3"/>
      <c r="D53" s="3" t="n">
        <f aca="false">요약!$C$5-(1900+B53)</f>
        <v>50</v>
      </c>
      <c r="E53" s="13" t="s">
        <v>174</v>
      </c>
      <c r="F53" s="13" t="s">
        <v>114</v>
      </c>
      <c r="G53" s="13" t="s">
        <v>114</v>
      </c>
      <c r="H53" s="13" t="s">
        <v>191</v>
      </c>
      <c r="I53" s="13" t="s">
        <v>143</v>
      </c>
      <c r="J53" s="13" t="s">
        <v>144</v>
      </c>
      <c r="K53" s="3"/>
      <c r="L53" s="13" t="s">
        <v>192</v>
      </c>
      <c r="M53" s="4" t="s">
        <v>192</v>
      </c>
      <c r="N53" s="3"/>
      <c r="O53" s="4" t="s">
        <v>61</v>
      </c>
      <c r="P53" s="4"/>
    </row>
    <row r="54" customFormat="false" ht="26.85" hidden="false" customHeight="false" outlineLevel="0" collapsed="false">
      <c r="A54" s="3" t="n">
        <v>50</v>
      </c>
      <c r="B54" s="3" t="n">
        <v>76</v>
      </c>
      <c r="C54" s="3"/>
      <c r="D54" s="3" t="n">
        <f aca="false">요약!$C$5-(1900+B54)</f>
        <v>50</v>
      </c>
      <c r="E54" s="13" t="s">
        <v>174</v>
      </c>
      <c r="F54" s="13" t="s">
        <v>55</v>
      </c>
      <c r="G54" s="13" t="s">
        <v>55</v>
      </c>
      <c r="H54" s="13" t="s">
        <v>193</v>
      </c>
      <c r="I54" s="13" t="s">
        <v>143</v>
      </c>
      <c r="J54" s="13" t="s">
        <v>144</v>
      </c>
      <c r="K54" s="16" t="s">
        <v>135</v>
      </c>
      <c r="L54" s="13" t="s">
        <v>194</v>
      </c>
      <c r="M54" s="4" t="s">
        <v>194</v>
      </c>
      <c r="N54" s="3"/>
      <c r="O54" s="4" t="s">
        <v>61</v>
      </c>
      <c r="P54" s="4"/>
    </row>
    <row r="55" customFormat="false" ht="26.85" hidden="false" customHeight="false" outlineLevel="0" collapsed="false">
      <c r="A55" s="3" t="n">
        <v>51</v>
      </c>
      <c r="B55" s="3" t="n">
        <v>76</v>
      </c>
      <c r="C55" s="3"/>
      <c r="D55" s="3" t="n">
        <f aca="false">요약!$C$5-(1900+B55)</f>
        <v>50</v>
      </c>
      <c r="E55" s="13" t="s">
        <v>174</v>
      </c>
      <c r="F55" s="13" t="s">
        <v>107</v>
      </c>
      <c r="G55" s="13" t="s">
        <v>107</v>
      </c>
      <c r="H55" s="13" t="s">
        <v>195</v>
      </c>
      <c r="I55" s="13" t="s">
        <v>143</v>
      </c>
      <c r="J55" s="13" t="s">
        <v>144</v>
      </c>
      <c r="K55" s="3"/>
      <c r="L55" s="13" t="s">
        <v>196</v>
      </c>
      <c r="M55" s="4" t="s">
        <v>196</v>
      </c>
      <c r="N55" s="13" t="s">
        <v>101</v>
      </c>
      <c r="O55" s="4" t="s">
        <v>61</v>
      </c>
      <c r="P55" s="4"/>
    </row>
    <row r="56" customFormat="false" ht="26.85" hidden="false" customHeight="false" outlineLevel="0" collapsed="false">
      <c r="A56" s="3" t="n">
        <v>52</v>
      </c>
      <c r="B56" s="3" t="n">
        <v>77</v>
      </c>
      <c r="C56" s="3"/>
      <c r="D56" s="3" t="n">
        <f aca="false">요약!$C$5-(1900+B56)</f>
        <v>49</v>
      </c>
      <c r="E56" s="13" t="s">
        <v>197</v>
      </c>
      <c r="F56" s="3" t="s">
        <v>156</v>
      </c>
      <c r="G56" s="3" t="s">
        <v>156</v>
      </c>
      <c r="H56" s="13" t="s">
        <v>198</v>
      </c>
      <c r="I56" s="13" t="s">
        <v>143</v>
      </c>
      <c r="J56" s="13" t="s">
        <v>144</v>
      </c>
      <c r="K56" s="3"/>
      <c r="L56" s="13" t="s">
        <v>122</v>
      </c>
      <c r="M56" s="4" t="s">
        <v>122</v>
      </c>
      <c r="N56" s="13" t="s">
        <v>71</v>
      </c>
      <c r="O56" s="4" t="s">
        <v>61</v>
      </c>
      <c r="P56" s="4"/>
    </row>
    <row r="57" customFormat="false" ht="26.85" hidden="false" customHeight="false" outlineLevel="0" collapsed="false">
      <c r="A57" s="3" t="n">
        <v>53</v>
      </c>
      <c r="B57" s="3" t="n">
        <v>77</v>
      </c>
      <c r="C57" s="3"/>
      <c r="D57" s="3" t="n">
        <f aca="false">요약!$C$5-(1900+B57)</f>
        <v>49</v>
      </c>
      <c r="E57" s="13" t="s">
        <v>197</v>
      </c>
      <c r="F57" s="13" t="s">
        <v>114</v>
      </c>
      <c r="G57" s="13" t="s">
        <v>114</v>
      </c>
      <c r="H57" s="13" t="s">
        <v>199</v>
      </c>
      <c r="I57" s="13" t="s">
        <v>200</v>
      </c>
      <c r="J57" s="13" t="s">
        <v>144</v>
      </c>
      <c r="K57" s="3"/>
      <c r="L57" s="13" t="s">
        <v>116</v>
      </c>
      <c r="M57" s="4" t="s">
        <v>116</v>
      </c>
      <c r="N57" s="13" t="s">
        <v>105</v>
      </c>
      <c r="O57" s="4" t="s">
        <v>61</v>
      </c>
      <c r="P57" s="4"/>
    </row>
    <row r="58" customFormat="false" ht="26.85" hidden="false" customHeight="false" outlineLevel="0" collapsed="false">
      <c r="A58" s="3" t="n">
        <v>54</v>
      </c>
      <c r="B58" s="3" t="n">
        <v>77</v>
      </c>
      <c r="C58" s="13" t="s">
        <v>83</v>
      </c>
      <c r="D58" s="3" t="n">
        <f aca="false">요약!$C$5-(1900+B58)</f>
        <v>49</v>
      </c>
      <c r="E58" s="13" t="s">
        <v>197</v>
      </c>
      <c r="F58" s="13" t="s">
        <v>90</v>
      </c>
      <c r="G58" s="13" t="s">
        <v>90</v>
      </c>
      <c r="H58" s="13" t="s">
        <v>201</v>
      </c>
      <c r="I58" s="13" t="s">
        <v>143</v>
      </c>
      <c r="J58" s="13" t="s">
        <v>144</v>
      </c>
      <c r="K58" s="3"/>
      <c r="L58" s="13" t="s">
        <v>202</v>
      </c>
      <c r="M58" s="4" t="s">
        <v>202</v>
      </c>
      <c r="N58" s="3"/>
      <c r="O58" s="4" t="s">
        <v>61</v>
      </c>
      <c r="P58" s="4" t="s">
        <v>203</v>
      </c>
    </row>
    <row r="59" customFormat="false" ht="26.85" hidden="false" customHeight="false" outlineLevel="0" collapsed="false">
      <c r="A59" s="3" t="n">
        <v>55</v>
      </c>
      <c r="B59" s="3" t="n">
        <v>78</v>
      </c>
      <c r="C59" s="3"/>
      <c r="D59" s="3" t="n">
        <f aca="false">요약!$C$5-(1900+B59)</f>
        <v>48</v>
      </c>
      <c r="E59" s="13" t="s">
        <v>54</v>
      </c>
      <c r="F59" s="3" t="s">
        <v>109</v>
      </c>
      <c r="G59" s="3" t="s">
        <v>109</v>
      </c>
      <c r="H59" s="13" t="s">
        <v>204</v>
      </c>
      <c r="I59" s="13" t="s">
        <v>200</v>
      </c>
      <c r="J59" s="13" t="s">
        <v>144</v>
      </c>
      <c r="K59" s="3"/>
      <c r="L59" s="13" t="s">
        <v>205</v>
      </c>
      <c r="M59" s="4" t="s">
        <v>205</v>
      </c>
      <c r="N59" s="13" t="s">
        <v>101</v>
      </c>
      <c r="O59" s="4" t="s">
        <v>61</v>
      </c>
      <c r="P59" s="4"/>
    </row>
    <row r="60" customFormat="false" ht="26.85" hidden="false" customHeight="false" outlineLevel="0" collapsed="false">
      <c r="A60" s="3" t="n">
        <v>56</v>
      </c>
      <c r="B60" s="3" t="n">
        <v>78</v>
      </c>
      <c r="C60" s="3"/>
      <c r="D60" s="3" t="n">
        <f aca="false">요약!$C$5-(1900+B60)</f>
        <v>48</v>
      </c>
      <c r="E60" s="13" t="s">
        <v>54</v>
      </c>
      <c r="F60" s="13" t="s">
        <v>87</v>
      </c>
      <c r="G60" s="13" t="s">
        <v>87</v>
      </c>
      <c r="H60" s="13" t="s">
        <v>206</v>
      </c>
      <c r="I60" s="13" t="s">
        <v>143</v>
      </c>
      <c r="J60" s="13" t="s">
        <v>144</v>
      </c>
      <c r="K60" s="3"/>
      <c r="L60" s="13" t="s">
        <v>77</v>
      </c>
      <c r="M60" s="4" t="s">
        <v>77</v>
      </c>
      <c r="N60" s="13" t="s">
        <v>71</v>
      </c>
      <c r="O60" s="4" t="s">
        <v>61</v>
      </c>
      <c r="P60" s="4"/>
    </row>
    <row r="61" customFormat="false" ht="26.85" hidden="false" customHeight="false" outlineLevel="0" collapsed="false">
      <c r="A61" s="3" t="n">
        <v>57</v>
      </c>
      <c r="B61" s="3" t="n">
        <v>78</v>
      </c>
      <c r="C61" s="3"/>
      <c r="D61" s="3" t="n">
        <f aca="false">요약!$C$5-(1900+B61)</f>
        <v>48</v>
      </c>
      <c r="E61" s="13" t="s">
        <v>54</v>
      </c>
      <c r="F61" s="13" t="s">
        <v>138</v>
      </c>
      <c r="G61" s="13" t="s">
        <v>138</v>
      </c>
      <c r="H61" s="13" t="s">
        <v>207</v>
      </c>
      <c r="I61" s="13" t="s">
        <v>143</v>
      </c>
      <c r="J61" s="13" t="s">
        <v>144</v>
      </c>
      <c r="K61" s="16" t="s">
        <v>135</v>
      </c>
      <c r="L61" s="13" t="s">
        <v>176</v>
      </c>
      <c r="M61" s="4" t="s">
        <v>176</v>
      </c>
      <c r="N61" s="13" t="s">
        <v>105</v>
      </c>
      <c r="O61" s="4" t="s">
        <v>61</v>
      </c>
      <c r="P61" s="4"/>
    </row>
    <row r="62" customFormat="false" ht="26.85" hidden="false" customHeight="false" outlineLevel="0" collapsed="false">
      <c r="A62" s="3" t="n">
        <v>58</v>
      </c>
      <c r="B62" s="3" t="n">
        <v>78</v>
      </c>
      <c r="C62" s="3"/>
      <c r="D62" s="3" t="n">
        <f aca="false">요약!$C$5-(1900+B62)</f>
        <v>48</v>
      </c>
      <c r="E62" s="13" t="s">
        <v>54</v>
      </c>
      <c r="F62" s="13" t="s">
        <v>72</v>
      </c>
      <c r="G62" s="13" t="s">
        <v>72</v>
      </c>
      <c r="H62" s="13" t="s">
        <v>208</v>
      </c>
      <c r="I62" s="13" t="s">
        <v>143</v>
      </c>
      <c r="J62" s="13" t="s">
        <v>144</v>
      </c>
      <c r="K62" s="16" t="s">
        <v>135</v>
      </c>
      <c r="L62" s="13" t="s">
        <v>70</v>
      </c>
      <c r="M62" s="4" t="s">
        <v>70</v>
      </c>
      <c r="N62" s="13" t="s">
        <v>71</v>
      </c>
      <c r="O62" s="4" t="s">
        <v>61</v>
      </c>
      <c r="P62" s="4"/>
    </row>
    <row r="63" customFormat="false" ht="26.85" hidden="false" customHeight="false" outlineLevel="0" collapsed="false">
      <c r="A63" s="3" t="n">
        <v>59</v>
      </c>
      <c r="B63" s="3" t="n">
        <v>78</v>
      </c>
      <c r="C63" s="3"/>
      <c r="D63" s="3" t="n">
        <f aca="false">요약!$C$5-(1900+B63)</f>
        <v>48</v>
      </c>
      <c r="E63" s="13" t="s">
        <v>54</v>
      </c>
      <c r="F63" s="13" t="s">
        <v>79</v>
      </c>
      <c r="G63" s="13" t="s">
        <v>79</v>
      </c>
      <c r="H63" s="13" t="s">
        <v>209</v>
      </c>
      <c r="I63" s="3"/>
      <c r="J63" s="13" t="s">
        <v>189</v>
      </c>
      <c r="K63" s="3"/>
      <c r="L63" s="13" t="s">
        <v>210</v>
      </c>
      <c r="M63" s="4" t="s">
        <v>211</v>
      </c>
      <c r="N63" s="3"/>
      <c r="O63" s="4" t="s">
        <v>61</v>
      </c>
      <c r="P63" s="4" t="s">
        <v>190</v>
      </c>
    </row>
    <row r="64" customFormat="false" ht="26.85" hidden="false" customHeight="false" outlineLevel="0" collapsed="false">
      <c r="A64" s="3" t="n">
        <v>60</v>
      </c>
      <c r="B64" s="3" t="n">
        <v>79</v>
      </c>
      <c r="C64" s="3"/>
      <c r="D64" s="3" t="n">
        <f aca="false">요약!$C$5-(1900+B64)</f>
        <v>47</v>
      </c>
      <c r="E64" s="13" t="s">
        <v>212</v>
      </c>
      <c r="F64" s="13" t="s">
        <v>102</v>
      </c>
      <c r="G64" s="13" t="s">
        <v>102</v>
      </c>
      <c r="H64" s="13" t="s">
        <v>213</v>
      </c>
      <c r="I64" s="13" t="s">
        <v>214</v>
      </c>
      <c r="J64" s="13" t="s">
        <v>144</v>
      </c>
      <c r="K64" s="16" t="s">
        <v>135</v>
      </c>
      <c r="L64" s="13" t="s">
        <v>113</v>
      </c>
      <c r="M64" s="4" t="s">
        <v>113</v>
      </c>
      <c r="N64" s="13" t="s">
        <v>66</v>
      </c>
      <c r="O64" s="4" t="s">
        <v>61</v>
      </c>
      <c r="P64" s="4"/>
    </row>
    <row r="65" customFormat="false" ht="26.85" hidden="false" customHeight="false" outlineLevel="0" collapsed="false">
      <c r="A65" s="3" t="n">
        <v>61</v>
      </c>
      <c r="B65" s="3" t="n">
        <v>79</v>
      </c>
      <c r="C65" s="3"/>
      <c r="D65" s="3" t="n">
        <f aca="false">요약!$C$5-(1900+B65)</f>
        <v>47</v>
      </c>
      <c r="E65" s="13" t="s">
        <v>212</v>
      </c>
      <c r="F65" s="3" t="s">
        <v>62</v>
      </c>
      <c r="G65" s="3" t="s">
        <v>62</v>
      </c>
      <c r="H65" s="13" t="s">
        <v>215</v>
      </c>
      <c r="I65" s="13" t="s">
        <v>143</v>
      </c>
      <c r="J65" s="13" t="s">
        <v>144</v>
      </c>
      <c r="K65" s="16" t="s">
        <v>135</v>
      </c>
      <c r="L65" s="13" t="s">
        <v>216</v>
      </c>
      <c r="M65" s="4" t="s">
        <v>217</v>
      </c>
      <c r="N65" s="3"/>
      <c r="O65" s="4" t="s">
        <v>61</v>
      </c>
      <c r="P65" s="4"/>
    </row>
    <row r="66" customFormat="false" ht="26.85" hidden="false" customHeight="false" outlineLevel="0" collapsed="false">
      <c r="A66" s="3" t="n">
        <v>62</v>
      </c>
      <c r="B66" s="3" t="n">
        <v>79</v>
      </c>
      <c r="C66" s="3"/>
      <c r="D66" s="3" t="n">
        <f aca="false">요약!$C$5-(1900+B66)</f>
        <v>47</v>
      </c>
      <c r="E66" s="13" t="s">
        <v>212</v>
      </c>
      <c r="F66" s="13" t="s">
        <v>218</v>
      </c>
      <c r="G66" s="13" t="s">
        <v>218</v>
      </c>
      <c r="H66" s="13" t="s">
        <v>219</v>
      </c>
      <c r="I66" s="13" t="s">
        <v>143</v>
      </c>
      <c r="J66" s="13" t="s">
        <v>144</v>
      </c>
      <c r="K66" s="16" t="s">
        <v>135</v>
      </c>
      <c r="L66" s="13" t="s">
        <v>220</v>
      </c>
      <c r="M66" s="4" t="s">
        <v>221</v>
      </c>
      <c r="N66" s="3"/>
      <c r="O66" s="4" t="s">
        <v>61</v>
      </c>
      <c r="P66" s="4"/>
    </row>
    <row r="67" customFormat="false" ht="26.85" hidden="false" customHeight="false" outlineLevel="0" collapsed="false">
      <c r="A67" s="3" t="n">
        <v>63</v>
      </c>
      <c r="B67" s="3" t="n">
        <v>79</v>
      </c>
      <c r="C67" s="3"/>
      <c r="D67" s="3" t="n">
        <f aca="false">요약!$C$5-(1900+B67)</f>
        <v>47</v>
      </c>
      <c r="E67" s="13" t="s">
        <v>212</v>
      </c>
      <c r="F67" s="3" t="s">
        <v>156</v>
      </c>
      <c r="G67" s="3" t="s">
        <v>156</v>
      </c>
      <c r="H67" s="13" t="s">
        <v>222</v>
      </c>
      <c r="I67" s="13" t="s">
        <v>143</v>
      </c>
      <c r="J67" s="13" t="s">
        <v>144</v>
      </c>
      <c r="K67" s="3"/>
      <c r="L67" s="13" t="s">
        <v>223</v>
      </c>
      <c r="M67" s="4" t="s">
        <v>223</v>
      </c>
      <c r="N67" s="13" t="s">
        <v>147</v>
      </c>
      <c r="O67" s="4" t="s">
        <v>61</v>
      </c>
      <c r="P67" s="4"/>
    </row>
    <row r="68" customFormat="false" ht="26.85" hidden="false" customHeight="false" outlineLevel="0" collapsed="false">
      <c r="A68" s="3" t="n">
        <v>64</v>
      </c>
      <c r="B68" s="3" t="n">
        <v>79</v>
      </c>
      <c r="C68" s="3"/>
      <c r="D68" s="3" t="n">
        <f aca="false">요약!$C$5-(1900+B68)</f>
        <v>47</v>
      </c>
      <c r="E68" s="13" t="s">
        <v>212</v>
      </c>
      <c r="F68" s="13" t="s">
        <v>85</v>
      </c>
      <c r="G68" s="13" t="s">
        <v>85</v>
      </c>
      <c r="H68" s="13" t="s">
        <v>224</v>
      </c>
      <c r="I68" s="13" t="s">
        <v>181</v>
      </c>
      <c r="J68" s="13" t="s">
        <v>144</v>
      </c>
      <c r="K68" s="3"/>
      <c r="L68" s="13" t="s">
        <v>225</v>
      </c>
      <c r="M68" s="4" t="s">
        <v>225</v>
      </c>
      <c r="N68" s="13" t="s">
        <v>71</v>
      </c>
      <c r="O68" s="4" t="s">
        <v>61</v>
      </c>
      <c r="P68" s="4"/>
    </row>
    <row r="69" customFormat="false" ht="26.85" hidden="false" customHeight="false" outlineLevel="0" collapsed="false">
      <c r="A69" s="3" t="n">
        <v>65</v>
      </c>
      <c r="B69" s="3" t="n">
        <v>79</v>
      </c>
      <c r="C69" s="3"/>
      <c r="D69" s="3" t="n">
        <f aca="false">요약!$C$5-(1900+B69)</f>
        <v>47</v>
      </c>
      <c r="E69" s="13" t="s">
        <v>212</v>
      </c>
      <c r="F69" s="13" t="s">
        <v>107</v>
      </c>
      <c r="G69" s="13" t="s">
        <v>107</v>
      </c>
      <c r="H69" s="13" t="s">
        <v>226</v>
      </c>
      <c r="I69" s="13" t="s">
        <v>143</v>
      </c>
      <c r="J69" s="13" t="s">
        <v>144</v>
      </c>
      <c r="K69" s="16" t="s">
        <v>135</v>
      </c>
      <c r="L69" s="13" t="s">
        <v>227</v>
      </c>
      <c r="M69" s="4" t="s">
        <v>227</v>
      </c>
      <c r="N69" s="13" t="s">
        <v>66</v>
      </c>
      <c r="O69" s="4" t="s">
        <v>61</v>
      </c>
      <c r="P69" s="17" t="s">
        <v>228</v>
      </c>
    </row>
    <row r="70" customFormat="false" ht="26.85" hidden="false" customHeight="false" outlineLevel="0" collapsed="false">
      <c r="A70" s="3" t="n">
        <v>66</v>
      </c>
      <c r="B70" s="3" t="n">
        <v>80</v>
      </c>
      <c r="C70" s="3"/>
      <c r="D70" s="3" t="n">
        <f aca="false">요약!$C$5-(1900+B70)</f>
        <v>46</v>
      </c>
      <c r="E70" s="13" t="s">
        <v>229</v>
      </c>
      <c r="F70" s="13" t="s">
        <v>102</v>
      </c>
      <c r="G70" s="13" t="s">
        <v>102</v>
      </c>
      <c r="H70" s="13" t="s">
        <v>230</v>
      </c>
      <c r="I70" s="13" t="s">
        <v>214</v>
      </c>
      <c r="J70" s="13" t="s">
        <v>144</v>
      </c>
      <c r="K70" s="16" t="s">
        <v>135</v>
      </c>
      <c r="L70" s="13" t="s">
        <v>104</v>
      </c>
      <c r="M70" s="4" t="s">
        <v>104</v>
      </c>
      <c r="N70" s="13" t="s">
        <v>105</v>
      </c>
      <c r="O70" s="4" t="s">
        <v>61</v>
      </c>
      <c r="P70" s="4"/>
    </row>
    <row r="71" customFormat="false" ht="26.85" hidden="false" customHeight="false" outlineLevel="0" collapsed="false">
      <c r="A71" s="3" t="n">
        <v>67</v>
      </c>
      <c r="B71" s="3" t="n">
        <v>80</v>
      </c>
      <c r="C71" s="3"/>
      <c r="D71" s="3" t="n">
        <f aca="false">요약!$C$5-(1900+B71)</f>
        <v>46</v>
      </c>
      <c r="E71" s="13" t="s">
        <v>229</v>
      </c>
      <c r="F71" s="13" t="s">
        <v>107</v>
      </c>
      <c r="G71" s="13" t="s">
        <v>107</v>
      </c>
      <c r="H71" s="13" t="s">
        <v>231</v>
      </c>
      <c r="I71" s="13" t="s">
        <v>143</v>
      </c>
      <c r="J71" s="13" t="s">
        <v>144</v>
      </c>
      <c r="K71" s="16" t="s">
        <v>135</v>
      </c>
      <c r="L71" s="13" t="s">
        <v>227</v>
      </c>
      <c r="M71" s="4" t="s">
        <v>227</v>
      </c>
      <c r="N71" s="13" t="s">
        <v>66</v>
      </c>
      <c r="O71" s="4" t="s">
        <v>61</v>
      </c>
      <c r="P71" s="4"/>
    </row>
    <row r="72" customFormat="false" ht="26.85" hidden="false" customHeight="false" outlineLevel="0" collapsed="false">
      <c r="A72" s="3" t="n">
        <v>68</v>
      </c>
      <c r="B72" s="3" t="n">
        <v>80</v>
      </c>
      <c r="C72" s="3"/>
      <c r="D72" s="3" t="n">
        <f aca="false">요약!$C$5-(1900+B72)</f>
        <v>46</v>
      </c>
      <c r="E72" s="13" t="s">
        <v>229</v>
      </c>
      <c r="F72" s="13" t="s">
        <v>96</v>
      </c>
      <c r="G72" s="13" t="s">
        <v>96</v>
      </c>
      <c r="H72" s="13" t="s">
        <v>232</v>
      </c>
      <c r="I72" s="13" t="s">
        <v>143</v>
      </c>
      <c r="J72" s="13" t="s">
        <v>144</v>
      </c>
      <c r="K72" s="16" t="s">
        <v>135</v>
      </c>
      <c r="L72" s="13" t="s">
        <v>70</v>
      </c>
      <c r="M72" s="4" t="s">
        <v>70</v>
      </c>
      <c r="N72" s="13" t="s">
        <v>71</v>
      </c>
      <c r="O72" s="4" t="s">
        <v>61</v>
      </c>
      <c r="P72" s="4"/>
    </row>
    <row r="73" customFormat="false" ht="26.85" hidden="false" customHeight="false" outlineLevel="0" collapsed="false">
      <c r="A73" s="3" t="n">
        <v>69</v>
      </c>
      <c r="B73" s="3" t="n">
        <v>80</v>
      </c>
      <c r="C73" s="3"/>
      <c r="D73" s="3" t="n">
        <f aca="false">요약!$C$5-(1900+B73)</f>
        <v>46</v>
      </c>
      <c r="E73" s="13" t="s">
        <v>229</v>
      </c>
      <c r="F73" s="13" t="s">
        <v>67</v>
      </c>
      <c r="G73" s="13" t="s">
        <v>67</v>
      </c>
      <c r="H73" s="13" t="s">
        <v>233</v>
      </c>
      <c r="I73" s="13" t="s">
        <v>143</v>
      </c>
      <c r="J73" s="13" t="s">
        <v>144</v>
      </c>
      <c r="K73" s="3"/>
      <c r="L73" s="13" t="s">
        <v>169</v>
      </c>
      <c r="M73" s="4" t="s">
        <v>169</v>
      </c>
      <c r="N73" s="13" t="s">
        <v>71</v>
      </c>
      <c r="O73" s="4" t="s">
        <v>61</v>
      </c>
      <c r="P73" s="4"/>
    </row>
    <row r="74" customFormat="false" ht="26.85" hidden="false" customHeight="false" outlineLevel="0" collapsed="false">
      <c r="A74" s="3" t="n">
        <v>70</v>
      </c>
      <c r="B74" s="3" t="n">
        <v>80</v>
      </c>
      <c r="C74" s="13" t="s">
        <v>83</v>
      </c>
      <c r="D74" s="3" t="n">
        <f aca="false">요약!$C$5-(1900+B74)</f>
        <v>46</v>
      </c>
      <c r="E74" s="13" t="s">
        <v>229</v>
      </c>
      <c r="F74" s="3" t="s">
        <v>156</v>
      </c>
      <c r="G74" s="3" t="s">
        <v>156</v>
      </c>
      <c r="H74" s="13" t="s">
        <v>234</v>
      </c>
      <c r="I74" s="13" t="s">
        <v>143</v>
      </c>
      <c r="J74" s="13" t="s">
        <v>144</v>
      </c>
      <c r="K74" s="16" t="s">
        <v>135</v>
      </c>
      <c r="L74" s="13" t="s">
        <v>227</v>
      </c>
      <c r="M74" s="4" t="s">
        <v>227</v>
      </c>
      <c r="N74" s="13" t="s">
        <v>66</v>
      </c>
      <c r="O74" s="4" t="s">
        <v>61</v>
      </c>
      <c r="P74" s="4"/>
    </row>
    <row r="75" customFormat="false" ht="26.85" hidden="false" customHeight="false" outlineLevel="0" collapsed="false">
      <c r="A75" s="3" t="n">
        <v>71</v>
      </c>
      <c r="B75" s="3" t="n">
        <v>80</v>
      </c>
      <c r="C75" s="3"/>
      <c r="D75" s="3" t="n">
        <f aca="false">요약!$C$5-(1900+B75)</f>
        <v>46</v>
      </c>
      <c r="E75" s="13" t="s">
        <v>229</v>
      </c>
      <c r="F75" s="13" t="s">
        <v>138</v>
      </c>
      <c r="G75" s="13" t="s">
        <v>138</v>
      </c>
      <c r="H75" s="13" t="s">
        <v>235</v>
      </c>
      <c r="I75" s="13" t="s">
        <v>143</v>
      </c>
      <c r="J75" s="13" t="s">
        <v>144</v>
      </c>
      <c r="K75" s="3"/>
      <c r="L75" s="13" t="s">
        <v>236</v>
      </c>
      <c r="M75" s="4" t="s">
        <v>236</v>
      </c>
      <c r="N75" s="3"/>
      <c r="O75" s="4" t="s">
        <v>61</v>
      </c>
      <c r="P75" s="4"/>
    </row>
    <row r="76" customFormat="false" ht="26.85" hidden="false" customHeight="false" outlineLevel="0" collapsed="false">
      <c r="A76" s="3" t="n">
        <v>72</v>
      </c>
      <c r="B76" s="3" t="n">
        <v>81</v>
      </c>
      <c r="C76" s="3"/>
      <c r="D76" s="3" t="n">
        <f aca="false">요약!$C$5-(1900+B76)</f>
        <v>45</v>
      </c>
      <c r="E76" s="13" t="s">
        <v>78</v>
      </c>
      <c r="F76" s="13" t="s">
        <v>102</v>
      </c>
      <c r="G76" s="13" t="s">
        <v>102</v>
      </c>
      <c r="H76" s="13" t="s">
        <v>237</v>
      </c>
      <c r="I76" s="13" t="s">
        <v>214</v>
      </c>
      <c r="J76" s="13" t="s">
        <v>144</v>
      </c>
      <c r="K76" s="3"/>
      <c r="L76" s="13" t="s">
        <v>205</v>
      </c>
      <c r="M76" s="4" t="s">
        <v>205</v>
      </c>
      <c r="N76" s="13" t="s">
        <v>101</v>
      </c>
      <c r="O76" s="4" t="s">
        <v>61</v>
      </c>
      <c r="P76" s="4"/>
    </row>
    <row r="77" customFormat="false" ht="26.85" hidden="false" customHeight="false" outlineLevel="0" collapsed="false">
      <c r="A77" s="3" t="n">
        <v>73</v>
      </c>
      <c r="B77" s="3" t="n">
        <v>81</v>
      </c>
      <c r="C77" s="3"/>
      <c r="D77" s="3" t="n">
        <f aca="false">요약!$C$5-(1900+B77)</f>
        <v>45</v>
      </c>
      <c r="E77" s="13" t="s">
        <v>78</v>
      </c>
      <c r="F77" s="13" t="s">
        <v>102</v>
      </c>
      <c r="G77" s="13" t="s">
        <v>102</v>
      </c>
      <c r="H77" s="13" t="s">
        <v>238</v>
      </c>
      <c r="I77" s="13" t="s">
        <v>214</v>
      </c>
      <c r="J77" s="13" t="s">
        <v>144</v>
      </c>
      <c r="K77" s="3"/>
      <c r="L77" s="13" t="s">
        <v>124</v>
      </c>
      <c r="M77" s="4" t="s">
        <v>124</v>
      </c>
      <c r="N77" s="13" t="s">
        <v>71</v>
      </c>
      <c r="O77" s="4" t="s">
        <v>61</v>
      </c>
      <c r="P77" s="4"/>
    </row>
    <row r="78" customFormat="false" ht="26.85" hidden="false" customHeight="false" outlineLevel="0" collapsed="false">
      <c r="A78" s="3" t="n">
        <v>74</v>
      </c>
      <c r="B78" s="3" t="n">
        <v>81</v>
      </c>
      <c r="C78" s="3"/>
      <c r="D78" s="3" t="n">
        <f aca="false">요약!$C$5-(1900+B78)</f>
        <v>45</v>
      </c>
      <c r="E78" s="13" t="s">
        <v>78</v>
      </c>
      <c r="F78" s="3" t="s">
        <v>109</v>
      </c>
      <c r="G78" s="3" t="s">
        <v>239</v>
      </c>
      <c r="H78" s="13" t="s">
        <v>240</v>
      </c>
      <c r="I78" s="13" t="s">
        <v>143</v>
      </c>
      <c r="J78" s="13" t="s">
        <v>144</v>
      </c>
      <c r="K78" s="3"/>
      <c r="L78" s="13" t="s">
        <v>116</v>
      </c>
      <c r="M78" s="4" t="s">
        <v>116</v>
      </c>
      <c r="N78" s="13" t="s">
        <v>105</v>
      </c>
      <c r="O78" s="4" t="s">
        <v>61</v>
      </c>
      <c r="P78" s="4"/>
    </row>
    <row r="79" customFormat="false" ht="26.85" hidden="false" customHeight="false" outlineLevel="0" collapsed="false">
      <c r="A79" s="3" t="n">
        <v>75</v>
      </c>
      <c r="B79" s="3" t="n">
        <v>81</v>
      </c>
      <c r="C79" s="3"/>
      <c r="D79" s="3" t="n">
        <f aca="false">요약!$C$5-(1900+B79)</f>
        <v>45</v>
      </c>
      <c r="E79" s="13" t="s">
        <v>78</v>
      </c>
      <c r="F79" s="13" t="s">
        <v>241</v>
      </c>
      <c r="G79" s="13" t="s">
        <v>241</v>
      </c>
      <c r="H79" s="13" t="s">
        <v>242</v>
      </c>
      <c r="I79" s="13" t="s">
        <v>200</v>
      </c>
      <c r="J79" s="13" t="s">
        <v>144</v>
      </c>
      <c r="K79" s="3"/>
      <c r="L79" s="13" t="s">
        <v>81</v>
      </c>
      <c r="M79" s="4" t="s">
        <v>243</v>
      </c>
      <c r="N79" s="13" t="s">
        <v>71</v>
      </c>
      <c r="O79" s="4" t="s">
        <v>61</v>
      </c>
      <c r="P79" s="4" t="s">
        <v>244</v>
      </c>
    </row>
    <row r="80" customFormat="false" ht="26.85" hidden="false" customHeight="false" outlineLevel="0" collapsed="false">
      <c r="A80" s="3" t="n">
        <v>76</v>
      </c>
      <c r="B80" s="3" t="n">
        <v>81</v>
      </c>
      <c r="C80" s="3"/>
      <c r="D80" s="3" t="n">
        <f aca="false">요약!$C$5-(1900+B80)</f>
        <v>45</v>
      </c>
      <c r="E80" s="13" t="s">
        <v>78</v>
      </c>
      <c r="F80" s="13" t="s">
        <v>245</v>
      </c>
      <c r="G80" s="13" t="s">
        <v>245</v>
      </c>
      <c r="H80" s="13" t="s">
        <v>246</v>
      </c>
      <c r="I80" s="13" t="s">
        <v>200</v>
      </c>
      <c r="J80" s="13" t="s">
        <v>144</v>
      </c>
      <c r="K80" s="3"/>
      <c r="L80" s="13" t="s">
        <v>70</v>
      </c>
      <c r="M80" s="4" t="s">
        <v>70</v>
      </c>
      <c r="N80" s="13" t="s">
        <v>71</v>
      </c>
      <c r="O80" s="4" t="s">
        <v>61</v>
      </c>
      <c r="P80" s="4"/>
    </row>
    <row r="81" customFormat="false" ht="26.85" hidden="false" customHeight="false" outlineLevel="0" collapsed="false">
      <c r="A81" s="3" t="n">
        <v>77</v>
      </c>
      <c r="B81" s="3" t="n">
        <v>81</v>
      </c>
      <c r="C81" s="3"/>
      <c r="D81" s="3" t="n">
        <f aca="false">요약!$C$5-(1900+B81)</f>
        <v>45</v>
      </c>
      <c r="E81" s="13" t="s">
        <v>78</v>
      </c>
      <c r="F81" s="13" t="s">
        <v>67</v>
      </c>
      <c r="G81" s="13" t="s">
        <v>67</v>
      </c>
      <c r="H81" s="13" t="s">
        <v>247</v>
      </c>
      <c r="I81" s="13" t="s">
        <v>200</v>
      </c>
      <c r="J81" s="13" t="s">
        <v>144</v>
      </c>
      <c r="K81" s="3"/>
      <c r="L81" s="13" t="s">
        <v>248</v>
      </c>
      <c r="M81" s="4" t="s">
        <v>248</v>
      </c>
      <c r="N81" s="3"/>
      <c r="O81" s="4" t="s">
        <v>61</v>
      </c>
      <c r="P81" s="4"/>
    </row>
    <row r="82" customFormat="false" ht="26.85" hidden="false" customHeight="false" outlineLevel="0" collapsed="false">
      <c r="A82" s="3" t="n">
        <v>78</v>
      </c>
      <c r="B82" s="3" t="n">
        <v>81</v>
      </c>
      <c r="C82" s="3"/>
      <c r="D82" s="3" t="n">
        <f aca="false">요약!$C$5-(1900+B82)</f>
        <v>45</v>
      </c>
      <c r="E82" s="13" t="s">
        <v>78</v>
      </c>
      <c r="F82" s="13" t="s">
        <v>79</v>
      </c>
      <c r="G82" s="13" t="s">
        <v>79</v>
      </c>
      <c r="H82" s="13" t="s">
        <v>249</v>
      </c>
      <c r="I82" s="13" t="s">
        <v>200</v>
      </c>
      <c r="J82" s="13" t="s">
        <v>144</v>
      </c>
      <c r="K82" s="3"/>
      <c r="L82" s="13" t="s">
        <v>250</v>
      </c>
      <c r="M82" s="4" t="s">
        <v>250</v>
      </c>
      <c r="N82" s="3"/>
      <c r="O82" s="4" t="s">
        <v>61</v>
      </c>
      <c r="P82" s="4" t="s">
        <v>82</v>
      </c>
    </row>
    <row r="83" customFormat="false" ht="26.85" hidden="false" customHeight="false" outlineLevel="0" collapsed="false">
      <c r="A83" s="3" t="n">
        <v>79</v>
      </c>
      <c r="B83" s="3" t="n">
        <v>82</v>
      </c>
      <c r="C83" s="3"/>
      <c r="D83" s="3" t="n">
        <f aca="false">요약!$C$5-(1900+B83)</f>
        <v>44</v>
      </c>
      <c r="E83" s="13" t="s">
        <v>84</v>
      </c>
      <c r="F83" s="3" t="s">
        <v>156</v>
      </c>
      <c r="G83" s="3" t="s">
        <v>156</v>
      </c>
      <c r="H83" s="13" t="s">
        <v>251</v>
      </c>
      <c r="I83" s="13" t="s">
        <v>143</v>
      </c>
      <c r="J83" s="13" t="s">
        <v>144</v>
      </c>
      <c r="K83" s="3"/>
      <c r="L83" s="13" t="s">
        <v>81</v>
      </c>
      <c r="M83" s="4" t="s">
        <v>81</v>
      </c>
      <c r="N83" s="13" t="s">
        <v>71</v>
      </c>
      <c r="O83" s="4" t="s">
        <v>61</v>
      </c>
      <c r="P83" s="4"/>
    </row>
    <row r="84" customFormat="false" ht="26.85" hidden="false" customHeight="false" outlineLevel="0" collapsed="false">
      <c r="A84" s="3" t="n">
        <v>80</v>
      </c>
      <c r="B84" s="3" t="n">
        <v>82</v>
      </c>
      <c r="C84" s="3"/>
      <c r="D84" s="3" t="n">
        <f aca="false">요약!$C$5-(1900+B84)</f>
        <v>44</v>
      </c>
      <c r="E84" s="13" t="s">
        <v>84</v>
      </c>
      <c r="F84" s="3" t="s">
        <v>252</v>
      </c>
      <c r="G84" s="3" t="s">
        <v>252</v>
      </c>
      <c r="H84" s="13" t="s">
        <v>253</v>
      </c>
      <c r="I84" s="13" t="s">
        <v>143</v>
      </c>
      <c r="J84" s="13" t="s">
        <v>144</v>
      </c>
      <c r="K84" s="3"/>
      <c r="L84" s="13" t="s">
        <v>124</v>
      </c>
      <c r="M84" s="4" t="s">
        <v>124</v>
      </c>
      <c r="N84" s="13" t="s">
        <v>71</v>
      </c>
      <c r="O84" s="4" t="s">
        <v>61</v>
      </c>
      <c r="P84" s="4"/>
    </row>
    <row r="85" customFormat="false" ht="26.85" hidden="false" customHeight="false" outlineLevel="0" collapsed="false">
      <c r="A85" s="3" t="n">
        <v>81</v>
      </c>
      <c r="B85" s="3" t="n">
        <v>82</v>
      </c>
      <c r="C85" s="3"/>
      <c r="D85" s="3" t="n">
        <f aca="false">요약!$C$5-(1900+B85)</f>
        <v>44</v>
      </c>
      <c r="E85" s="13" t="s">
        <v>84</v>
      </c>
      <c r="F85" s="13" t="s">
        <v>72</v>
      </c>
      <c r="G85" s="13" t="s">
        <v>72</v>
      </c>
      <c r="H85" s="13" t="s">
        <v>254</v>
      </c>
      <c r="I85" s="13" t="s">
        <v>200</v>
      </c>
      <c r="J85" s="13" t="s">
        <v>144</v>
      </c>
      <c r="K85" s="3"/>
      <c r="L85" s="13" t="s">
        <v>122</v>
      </c>
      <c r="M85" s="4" t="s">
        <v>122</v>
      </c>
      <c r="N85" s="13" t="s">
        <v>71</v>
      </c>
      <c r="O85" s="4" t="s">
        <v>61</v>
      </c>
      <c r="P85" s="4"/>
    </row>
    <row r="86" customFormat="false" ht="26.85" hidden="false" customHeight="false" outlineLevel="0" collapsed="false">
      <c r="A86" s="3" t="n">
        <v>82</v>
      </c>
      <c r="B86" s="3" t="n">
        <v>82</v>
      </c>
      <c r="C86" s="3"/>
      <c r="D86" s="3" t="n">
        <f aca="false">요약!$C$5-(1900+B86)</f>
        <v>44</v>
      </c>
      <c r="E86" s="13" t="s">
        <v>84</v>
      </c>
      <c r="F86" s="3" t="s">
        <v>150</v>
      </c>
      <c r="G86" s="3" t="s">
        <v>150</v>
      </c>
      <c r="H86" s="13" t="s">
        <v>255</v>
      </c>
      <c r="I86" s="13" t="s">
        <v>143</v>
      </c>
      <c r="J86" s="13" t="s">
        <v>144</v>
      </c>
      <c r="K86" s="3"/>
      <c r="L86" s="13" t="s">
        <v>104</v>
      </c>
      <c r="M86" s="4" t="s">
        <v>104</v>
      </c>
      <c r="N86" s="13" t="s">
        <v>105</v>
      </c>
      <c r="O86" s="4" t="s">
        <v>61</v>
      </c>
      <c r="P86" s="4" t="s">
        <v>82</v>
      </c>
    </row>
    <row r="87" customFormat="false" ht="26.85" hidden="false" customHeight="false" outlineLevel="0" collapsed="false">
      <c r="A87" s="3" t="n">
        <v>83</v>
      </c>
      <c r="B87" s="3" t="n">
        <v>82</v>
      </c>
      <c r="C87" s="3"/>
      <c r="D87" s="3" t="n">
        <f aca="false">요약!$C$5-(1900+B87)</f>
        <v>44</v>
      </c>
      <c r="E87" s="13" t="s">
        <v>84</v>
      </c>
      <c r="F87" s="13" t="s">
        <v>120</v>
      </c>
      <c r="G87" s="13" t="s">
        <v>120</v>
      </c>
      <c r="H87" s="13" t="s">
        <v>256</v>
      </c>
      <c r="I87" s="13" t="s">
        <v>200</v>
      </c>
      <c r="J87" s="13" t="s">
        <v>144</v>
      </c>
      <c r="K87" s="16" t="s">
        <v>184</v>
      </c>
      <c r="L87" s="13" t="s">
        <v>257</v>
      </c>
      <c r="M87" s="4" t="s">
        <v>257</v>
      </c>
      <c r="N87" s="3"/>
      <c r="O87" s="4" t="s">
        <v>61</v>
      </c>
      <c r="P87" s="4"/>
    </row>
    <row r="88" customFormat="false" ht="26.85" hidden="false" customHeight="false" outlineLevel="0" collapsed="false">
      <c r="A88" s="3" t="n">
        <v>84</v>
      </c>
      <c r="B88" s="3" t="n">
        <v>82</v>
      </c>
      <c r="C88" s="3"/>
      <c r="D88" s="3" t="n">
        <f aca="false">요약!$C$5-(1900+B88)</f>
        <v>44</v>
      </c>
      <c r="E88" s="13" t="s">
        <v>84</v>
      </c>
      <c r="F88" s="13" t="s">
        <v>107</v>
      </c>
      <c r="G88" s="13" t="s">
        <v>107</v>
      </c>
      <c r="H88" s="13" t="s">
        <v>258</v>
      </c>
      <c r="I88" s="13" t="s">
        <v>200</v>
      </c>
      <c r="J88" s="13" t="s">
        <v>144</v>
      </c>
      <c r="K88" s="3"/>
      <c r="L88" s="13" t="s">
        <v>116</v>
      </c>
      <c r="M88" s="4" t="s">
        <v>116</v>
      </c>
      <c r="N88" s="13" t="s">
        <v>105</v>
      </c>
      <c r="O88" s="4" t="s">
        <v>61</v>
      </c>
      <c r="P88" s="4"/>
    </row>
    <row r="89" customFormat="false" ht="26.85" hidden="false" customHeight="false" outlineLevel="0" collapsed="false">
      <c r="A89" s="3" t="n">
        <v>85</v>
      </c>
      <c r="B89" s="3" t="n">
        <v>82</v>
      </c>
      <c r="C89" s="3"/>
      <c r="D89" s="3" t="n">
        <f aca="false">요약!$C$5-(1900+B89)</f>
        <v>44</v>
      </c>
      <c r="E89" s="13" t="s">
        <v>84</v>
      </c>
      <c r="F89" s="13" t="s">
        <v>107</v>
      </c>
      <c r="G89" s="13" t="s">
        <v>107</v>
      </c>
      <c r="H89" s="13" t="s">
        <v>259</v>
      </c>
      <c r="I89" s="13" t="s">
        <v>200</v>
      </c>
      <c r="J89" s="13" t="s">
        <v>144</v>
      </c>
      <c r="K89" s="16" t="s">
        <v>135</v>
      </c>
      <c r="L89" s="13" t="s">
        <v>260</v>
      </c>
      <c r="M89" s="4" t="s">
        <v>260</v>
      </c>
      <c r="N89" s="13" t="s">
        <v>101</v>
      </c>
      <c r="O89" s="4" t="s">
        <v>61</v>
      </c>
      <c r="P89" s="4"/>
    </row>
    <row r="90" customFormat="false" ht="26.85" hidden="false" customHeight="false" outlineLevel="0" collapsed="false">
      <c r="A90" s="3" t="n">
        <v>86</v>
      </c>
      <c r="B90" s="3" t="n">
        <v>82</v>
      </c>
      <c r="C90" s="3"/>
      <c r="D90" s="3" t="n">
        <f aca="false">요약!$C$5-(1900+B90)</f>
        <v>44</v>
      </c>
      <c r="E90" s="13" t="s">
        <v>84</v>
      </c>
      <c r="F90" s="13" t="s">
        <v>90</v>
      </c>
      <c r="G90" s="13" t="s">
        <v>90</v>
      </c>
      <c r="H90" s="13" t="s">
        <v>261</v>
      </c>
      <c r="I90" s="13" t="s">
        <v>200</v>
      </c>
      <c r="J90" s="13" t="s">
        <v>144</v>
      </c>
      <c r="K90" s="3"/>
      <c r="L90" s="13" t="s">
        <v>145</v>
      </c>
      <c r="M90" s="4" t="s">
        <v>145</v>
      </c>
      <c r="N90" s="13" t="s">
        <v>147</v>
      </c>
      <c r="O90" s="4" t="s">
        <v>61</v>
      </c>
      <c r="P90" s="4"/>
    </row>
    <row r="91" customFormat="false" ht="26.85" hidden="false" customHeight="false" outlineLevel="0" collapsed="false">
      <c r="A91" s="3" t="n">
        <v>87</v>
      </c>
      <c r="B91" s="3" t="n">
        <v>82</v>
      </c>
      <c r="C91" s="13" t="s">
        <v>83</v>
      </c>
      <c r="D91" s="3" t="n">
        <f aca="false">요약!$C$5-(1900+B91)</f>
        <v>44</v>
      </c>
      <c r="E91" s="13" t="s">
        <v>84</v>
      </c>
      <c r="F91" s="3" t="s">
        <v>150</v>
      </c>
      <c r="G91" s="3" t="s">
        <v>150</v>
      </c>
      <c r="H91" s="13" t="s">
        <v>262</v>
      </c>
      <c r="I91" s="13" t="s">
        <v>143</v>
      </c>
      <c r="J91" s="13" t="s">
        <v>144</v>
      </c>
      <c r="K91" s="3"/>
      <c r="L91" s="13" t="s">
        <v>260</v>
      </c>
      <c r="M91" s="4" t="s">
        <v>260</v>
      </c>
      <c r="N91" s="13" t="s">
        <v>101</v>
      </c>
      <c r="O91" s="4" t="s">
        <v>61</v>
      </c>
      <c r="P91" s="17" t="s">
        <v>263</v>
      </c>
    </row>
    <row r="92" customFormat="false" ht="26.85" hidden="false" customHeight="false" outlineLevel="0" collapsed="false">
      <c r="A92" s="3" t="n">
        <v>88</v>
      </c>
      <c r="B92" s="3" t="n">
        <v>83</v>
      </c>
      <c r="C92" s="3"/>
      <c r="D92" s="3" t="n">
        <f aca="false">요약!$C$5-(1900+B92)</f>
        <v>43</v>
      </c>
      <c r="E92" s="13" t="s">
        <v>106</v>
      </c>
      <c r="F92" s="13" t="s">
        <v>132</v>
      </c>
      <c r="G92" s="13" t="s">
        <v>132</v>
      </c>
      <c r="H92" s="13" t="s">
        <v>264</v>
      </c>
      <c r="I92" s="13" t="s">
        <v>200</v>
      </c>
      <c r="J92" s="13" t="s">
        <v>144</v>
      </c>
      <c r="K92" s="16" t="s">
        <v>135</v>
      </c>
      <c r="L92" s="13" t="s">
        <v>196</v>
      </c>
      <c r="M92" s="4" t="s">
        <v>196</v>
      </c>
      <c r="N92" s="13" t="s">
        <v>101</v>
      </c>
      <c r="O92" s="4" t="s">
        <v>61</v>
      </c>
      <c r="P92" s="4"/>
    </row>
    <row r="93" customFormat="false" ht="26.85" hidden="false" customHeight="false" outlineLevel="0" collapsed="false">
      <c r="A93" s="3" t="n">
        <v>89</v>
      </c>
      <c r="B93" s="3" t="n">
        <v>83</v>
      </c>
      <c r="C93" s="3"/>
      <c r="D93" s="3" t="n">
        <f aca="false">요약!$C$5-(1900+B93)</f>
        <v>43</v>
      </c>
      <c r="E93" s="13" t="s">
        <v>106</v>
      </c>
      <c r="F93" s="13" t="s">
        <v>132</v>
      </c>
      <c r="G93" s="13" t="s">
        <v>132</v>
      </c>
      <c r="H93" s="13" t="s">
        <v>265</v>
      </c>
      <c r="I93" s="13" t="s">
        <v>200</v>
      </c>
      <c r="J93" s="13" t="s">
        <v>144</v>
      </c>
      <c r="K93" s="3"/>
      <c r="L93" s="13" t="s">
        <v>74</v>
      </c>
      <c r="M93" s="4" t="s">
        <v>74</v>
      </c>
      <c r="N93" s="13" t="s">
        <v>71</v>
      </c>
      <c r="O93" s="4" t="s">
        <v>61</v>
      </c>
      <c r="P93" s="4"/>
    </row>
    <row r="94" customFormat="false" ht="26.85" hidden="false" customHeight="false" outlineLevel="0" collapsed="false">
      <c r="A94" s="3" t="n">
        <v>90</v>
      </c>
      <c r="B94" s="3" t="n">
        <v>83</v>
      </c>
      <c r="C94" s="3"/>
      <c r="D94" s="3" t="n">
        <f aca="false">요약!$C$5-(1900+B94)</f>
        <v>43</v>
      </c>
      <c r="E94" s="13" t="s">
        <v>106</v>
      </c>
      <c r="F94" s="13" t="s">
        <v>266</v>
      </c>
      <c r="G94" s="13" t="s">
        <v>267</v>
      </c>
      <c r="H94" s="13" t="s">
        <v>268</v>
      </c>
      <c r="I94" s="13" t="s">
        <v>200</v>
      </c>
      <c r="J94" s="13" t="s">
        <v>144</v>
      </c>
      <c r="K94" s="16" t="s">
        <v>135</v>
      </c>
      <c r="L94" s="13" t="s">
        <v>269</v>
      </c>
      <c r="M94" s="4" t="s">
        <v>269</v>
      </c>
      <c r="N94" s="3"/>
      <c r="O94" s="4" t="s">
        <v>61</v>
      </c>
      <c r="P94" s="4"/>
    </row>
    <row r="95" customFormat="false" ht="26.85" hidden="false" customHeight="false" outlineLevel="0" collapsed="false">
      <c r="A95" s="3" t="n">
        <v>91</v>
      </c>
      <c r="B95" s="3" t="n">
        <v>83</v>
      </c>
      <c r="C95" s="3"/>
      <c r="D95" s="3" t="n">
        <f aca="false">요약!$C$5-(1900+B95)</f>
        <v>43</v>
      </c>
      <c r="E95" s="13" t="s">
        <v>106</v>
      </c>
      <c r="F95" s="13" t="s">
        <v>270</v>
      </c>
      <c r="G95" s="13" t="s">
        <v>270</v>
      </c>
      <c r="H95" s="13" t="s">
        <v>271</v>
      </c>
      <c r="I95" s="13" t="s">
        <v>200</v>
      </c>
      <c r="J95" s="13" t="s">
        <v>144</v>
      </c>
      <c r="K95" s="3"/>
      <c r="L95" s="13" t="s">
        <v>126</v>
      </c>
      <c r="M95" s="4" t="s">
        <v>126</v>
      </c>
      <c r="N95" s="13" t="s">
        <v>71</v>
      </c>
      <c r="O95" s="4" t="s">
        <v>61</v>
      </c>
      <c r="P95" s="17" t="s">
        <v>272</v>
      </c>
    </row>
    <row r="96" customFormat="false" ht="26.85" hidden="false" customHeight="false" outlineLevel="0" collapsed="false">
      <c r="A96" s="3" t="n">
        <v>92</v>
      </c>
      <c r="B96" s="3" t="n">
        <v>83</v>
      </c>
      <c r="C96" s="3"/>
      <c r="D96" s="3" t="n">
        <f aca="false">요약!$C$5-(1900+B96)</f>
        <v>43</v>
      </c>
      <c r="E96" s="13" t="s">
        <v>106</v>
      </c>
      <c r="F96" s="13" t="s">
        <v>87</v>
      </c>
      <c r="G96" s="13" t="s">
        <v>273</v>
      </c>
      <c r="H96" s="13" t="s">
        <v>274</v>
      </c>
      <c r="I96" s="13" t="s">
        <v>200</v>
      </c>
      <c r="J96" s="13" t="s">
        <v>144</v>
      </c>
      <c r="K96" s="3"/>
      <c r="L96" s="13" t="s">
        <v>70</v>
      </c>
      <c r="M96" s="4" t="s">
        <v>70</v>
      </c>
      <c r="N96" s="13" t="s">
        <v>71</v>
      </c>
      <c r="O96" s="4" t="s">
        <v>61</v>
      </c>
      <c r="P96" s="4"/>
    </row>
    <row r="97" customFormat="false" ht="26.85" hidden="false" customHeight="false" outlineLevel="0" collapsed="false">
      <c r="A97" s="3" t="n">
        <v>93</v>
      </c>
      <c r="B97" s="3" t="n">
        <v>83</v>
      </c>
      <c r="C97" s="3"/>
      <c r="D97" s="3" t="n">
        <f aca="false">요약!$C$5-(1900+B97)</f>
        <v>43</v>
      </c>
      <c r="E97" s="13" t="s">
        <v>106</v>
      </c>
      <c r="F97" s="13" t="s">
        <v>87</v>
      </c>
      <c r="G97" s="13" t="s">
        <v>273</v>
      </c>
      <c r="H97" s="13" t="s">
        <v>275</v>
      </c>
      <c r="I97" s="13" t="s">
        <v>200</v>
      </c>
      <c r="J97" s="13" t="s">
        <v>144</v>
      </c>
      <c r="K97" s="3"/>
      <c r="L97" s="13" t="s">
        <v>223</v>
      </c>
      <c r="M97" s="4" t="s">
        <v>223</v>
      </c>
      <c r="N97" s="13" t="s">
        <v>147</v>
      </c>
      <c r="O97" s="4" t="s">
        <v>61</v>
      </c>
      <c r="P97" s="4"/>
    </row>
    <row r="98" customFormat="false" ht="26.85" hidden="false" customHeight="false" outlineLevel="0" collapsed="false">
      <c r="A98" s="3" t="n">
        <v>94</v>
      </c>
      <c r="B98" s="3" t="n">
        <v>83</v>
      </c>
      <c r="C98" s="3"/>
      <c r="D98" s="3" t="n">
        <f aca="false">요약!$C$5-(1900+B98)</f>
        <v>43</v>
      </c>
      <c r="E98" s="13" t="s">
        <v>106</v>
      </c>
      <c r="F98" s="13" t="s">
        <v>167</v>
      </c>
      <c r="G98" s="13" t="s">
        <v>276</v>
      </c>
      <c r="H98" s="13" t="s">
        <v>277</v>
      </c>
      <c r="I98" s="13" t="s">
        <v>200</v>
      </c>
      <c r="J98" s="13" t="s">
        <v>144</v>
      </c>
      <c r="K98" s="3"/>
      <c r="L98" s="13" t="s">
        <v>81</v>
      </c>
      <c r="M98" s="4" t="s">
        <v>81</v>
      </c>
      <c r="N98" s="13" t="s">
        <v>71</v>
      </c>
      <c r="O98" s="4" t="s">
        <v>61</v>
      </c>
      <c r="P98" s="4"/>
    </row>
    <row r="99" customFormat="false" ht="26.85" hidden="false" customHeight="false" outlineLevel="0" collapsed="false">
      <c r="A99" s="3" t="n">
        <v>95</v>
      </c>
      <c r="B99" s="3" t="n">
        <v>83</v>
      </c>
      <c r="C99" s="3"/>
      <c r="D99" s="3" t="n">
        <f aca="false">요약!$C$5-(1900+B99)</f>
        <v>43</v>
      </c>
      <c r="E99" s="13" t="s">
        <v>106</v>
      </c>
      <c r="F99" s="13" t="s">
        <v>141</v>
      </c>
      <c r="G99" s="13" t="s">
        <v>278</v>
      </c>
      <c r="H99" s="13" t="s">
        <v>279</v>
      </c>
      <c r="I99" s="13" t="s">
        <v>200</v>
      </c>
      <c r="J99" s="13" t="s">
        <v>144</v>
      </c>
      <c r="K99" s="3"/>
      <c r="L99" s="13" t="s">
        <v>225</v>
      </c>
      <c r="M99" s="4" t="s">
        <v>225</v>
      </c>
      <c r="N99" s="13" t="s">
        <v>71</v>
      </c>
      <c r="O99" s="4" t="s">
        <v>61</v>
      </c>
      <c r="P99" s="4"/>
    </row>
    <row r="100" customFormat="false" ht="26.85" hidden="false" customHeight="false" outlineLevel="0" collapsed="false">
      <c r="A100" s="3" t="n">
        <v>96</v>
      </c>
      <c r="B100" s="3" t="n">
        <v>84</v>
      </c>
      <c r="C100" s="3"/>
      <c r="D100" s="3" t="n">
        <f aca="false">요약!$C$5-(1900+B100)</f>
        <v>42</v>
      </c>
      <c r="E100" s="13" t="s">
        <v>111</v>
      </c>
      <c r="F100" s="13" t="s">
        <v>93</v>
      </c>
      <c r="G100" s="13" t="s">
        <v>280</v>
      </c>
      <c r="H100" s="13" t="s">
        <v>281</v>
      </c>
      <c r="I100" s="13" t="s">
        <v>200</v>
      </c>
      <c r="J100" s="13" t="s">
        <v>144</v>
      </c>
      <c r="K100" s="3"/>
      <c r="L100" s="13" t="s">
        <v>169</v>
      </c>
      <c r="M100" s="4" t="s">
        <v>169</v>
      </c>
      <c r="N100" s="13" t="s">
        <v>71</v>
      </c>
      <c r="O100" s="4" t="s">
        <v>61</v>
      </c>
      <c r="P100" s="4"/>
    </row>
    <row r="101" customFormat="false" ht="26.85" hidden="false" customHeight="false" outlineLevel="0" collapsed="false">
      <c r="A101" s="3" t="n">
        <v>97</v>
      </c>
      <c r="B101" s="3" t="n">
        <v>84</v>
      </c>
      <c r="C101" s="3"/>
      <c r="D101" s="3" t="n">
        <f aca="false">요약!$C$5-(1900+B101)</f>
        <v>42</v>
      </c>
      <c r="E101" s="13" t="s">
        <v>111</v>
      </c>
      <c r="F101" s="3" t="s">
        <v>150</v>
      </c>
      <c r="G101" s="3" t="s">
        <v>282</v>
      </c>
      <c r="H101" s="13" t="s">
        <v>283</v>
      </c>
      <c r="I101" s="13" t="s">
        <v>200</v>
      </c>
      <c r="J101" s="13" t="s">
        <v>144</v>
      </c>
      <c r="K101" s="3"/>
      <c r="L101" s="13" t="s">
        <v>149</v>
      </c>
      <c r="M101" s="4" t="s">
        <v>149</v>
      </c>
      <c r="N101" s="13" t="s">
        <v>71</v>
      </c>
      <c r="O101" s="4" t="s">
        <v>61</v>
      </c>
      <c r="P101" s="4"/>
    </row>
    <row r="102" customFormat="false" ht="26.85" hidden="false" customHeight="false" outlineLevel="0" collapsed="false">
      <c r="A102" s="3" t="n">
        <v>98</v>
      </c>
      <c r="B102" s="3" t="n">
        <v>84</v>
      </c>
      <c r="C102" s="3"/>
      <c r="D102" s="3" t="n">
        <f aca="false">요약!$C$5-(1900+B102)</f>
        <v>42</v>
      </c>
      <c r="E102" s="13" t="s">
        <v>111</v>
      </c>
      <c r="F102" s="13" t="s">
        <v>67</v>
      </c>
      <c r="G102" s="13" t="s">
        <v>284</v>
      </c>
      <c r="H102" s="13" t="s">
        <v>285</v>
      </c>
      <c r="I102" s="13" t="s">
        <v>200</v>
      </c>
      <c r="J102" s="13" t="s">
        <v>144</v>
      </c>
      <c r="K102" s="3"/>
      <c r="L102" s="13" t="s">
        <v>140</v>
      </c>
      <c r="M102" s="4" t="s">
        <v>286</v>
      </c>
      <c r="N102" s="13" t="s">
        <v>101</v>
      </c>
      <c r="O102" s="4" t="s">
        <v>61</v>
      </c>
      <c r="P102" s="4"/>
    </row>
    <row r="103" customFormat="false" ht="26.85" hidden="false" customHeight="false" outlineLevel="0" collapsed="false">
      <c r="A103" s="3" t="n">
        <v>99</v>
      </c>
      <c r="B103" s="3" t="n">
        <v>84</v>
      </c>
      <c r="C103" s="3"/>
      <c r="D103" s="3" t="n">
        <f aca="false">요약!$C$5-(1900+B103)</f>
        <v>42</v>
      </c>
      <c r="E103" s="13" t="s">
        <v>111</v>
      </c>
      <c r="F103" s="13" t="s">
        <v>141</v>
      </c>
      <c r="G103" s="13" t="s">
        <v>278</v>
      </c>
      <c r="H103" s="13" t="s">
        <v>287</v>
      </c>
      <c r="I103" s="13" t="s">
        <v>200</v>
      </c>
      <c r="J103" s="13" t="s">
        <v>144</v>
      </c>
      <c r="K103" s="3"/>
      <c r="L103" s="13" t="s">
        <v>149</v>
      </c>
      <c r="M103" s="4" t="s">
        <v>149</v>
      </c>
      <c r="N103" s="13" t="s">
        <v>71</v>
      </c>
      <c r="O103" s="4" t="s">
        <v>61</v>
      </c>
      <c r="P103" s="4"/>
    </row>
    <row r="104" customFormat="false" ht="26.85" hidden="false" customHeight="false" outlineLevel="0" collapsed="false">
      <c r="A104" s="3" t="n">
        <v>100</v>
      </c>
      <c r="B104" s="3" t="n">
        <v>84</v>
      </c>
      <c r="C104" s="3"/>
      <c r="D104" s="3" t="n">
        <f aca="false">요약!$C$5-(1900+B104)</f>
        <v>42</v>
      </c>
      <c r="E104" s="13" t="s">
        <v>111</v>
      </c>
      <c r="F104" s="13" t="s">
        <v>288</v>
      </c>
      <c r="G104" s="13" t="s">
        <v>289</v>
      </c>
      <c r="H104" s="13" t="s">
        <v>290</v>
      </c>
      <c r="I104" s="13" t="s">
        <v>291</v>
      </c>
      <c r="J104" s="13" t="s">
        <v>144</v>
      </c>
      <c r="K104" s="3"/>
      <c r="L104" s="13" t="s">
        <v>70</v>
      </c>
      <c r="M104" s="4" t="s">
        <v>70</v>
      </c>
      <c r="N104" s="13" t="s">
        <v>71</v>
      </c>
      <c r="O104" s="4" t="s">
        <v>61</v>
      </c>
      <c r="P104" s="4"/>
    </row>
    <row r="105" customFormat="false" ht="26.85" hidden="false" customHeight="false" outlineLevel="0" collapsed="false">
      <c r="A105" s="3" t="n">
        <v>101</v>
      </c>
      <c r="B105" s="3" t="n">
        <v>85</v>
      </c>
      <c r="C105" s="3"/>
      <c r="D105" s="3" t="n">
        <f aca="false">요약!$C$5-(1900+B105)</f>
        <v>41</v>
      </c>
      <c r="E105" s="13" t="s">
        <v>119</v>
      </c>
      <c r="F105" s="3" t="s">
        <v>109</v>
      </c>
      <c r="G105" s="3" t="s">
        <v>109</v>
      </c>
      <c r="H105" s="13" t="s">
        <v>292</v>
      </c>
      <c r="I105" s="13" t="s">
        <v>293</v>
      </c>
      <c r="J105" s="13" t="s">
        <v>144</v>
      </c>
      <c r="K105" s="3"/>
      <c r="L105" s="13" t="s">
        <v>149</v>
      </c>
      <c r="M105" s="4" t="s">
        <v>149</v>
      </c>
      <c r="N105" s="13" t="s">
        <v>71</v>
      </c>
      <c r="O105" s="4" t="s">
        <v>294</v>
      </c>
      <c r="P105" s="17" t="s">
        <v>295</v>
      </c>
    </row>
  </sheetData>
  <autoFilter ref="A4:P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5" min="4" style="0" width="7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10"/>
  </cols>
  <sheetData>
    <row r="1" customFormat="false" ht="17.35" hidden="false" customHeight="false" outlineLevel="0" collapsed="false">
      <c r="A1" s="1" t="s">
        <v>296</v>
      </c>
    </row>
    <row r="2" customFormat="false" ht="15" hidden="false" customHeight="false" outlineLevel="0" collapsed="false">
      <c r="A2" s="2" t="s">
        <v>297</v>
      </c>
    </row>
    <row r="4" customFormat="false" ht="30" hidden="false" customHeight="true" outlineLevel="0" collapsed="false">
      <c r="A4" s="12" t="s">
        <v>39</v>
      </c>
      <c r="B4" s="12" t="s">
        <v>41</v>
      </c>
      <c r="C4" s="12" t="s">
        <v>42</v>
      </c>
      <c r="D4" s="12" t="s">
        <v>298</v>
      </c>
      <c r="E4" s="12" t="s">
        <v>58</v>
      </c>
      <c r="F4" s="12" t="s">
        <v>144</v>
      </c>
      <c r="G4" s="12" t="s">
        <v>299</v>
      </c>
      <c r="H4" s="12" t="s">
        <v>300</v>
      </c>
    </row>
    <row r="5" customFormat="false" ht="15" hidden="false" customHeight="false" outlineLevel="0" collapsed="false">
      <c r="A5" s="3" t="n">
        <v>66</v>
      </c>
      <c r="B5" s="3" t="n">
        <f aca="false">요약!$C$5-(1900+A5)</f>
        <v>60</v>
      </c>
      <c r="C5" s="13" t="s">
        <v>54</v>
      </c>
      <c r="D5" s="3" t="n">
        <f aca="false">COUNTIF(인원명부!$B$5:$B$105,A5)</f>
        <v>5</v>
      </c>
      <c r="E5" s="3" t="n">
        <f aca="false">COUNTIFS(인원명부!$B$5:$B$105,A5,인원명부!$J$5:$J$105,"임원")</f>
        <v>5</v>
      </c>
      <c r="F5" s="3" t="n">
        <f aca="false">COUNTIFS(인원명부!$B$5:$B$105,A5,인원명부!$J$5:$J$105,"부장 이하")</f>
        <v>0</v>
      </c>
      <c r="G5" s="3" t="n">
        <f aca="false">COUNTIFS(인원명부!$B$5:$B$105,A5,인원명부!$K$5:$K$105,"?*")</f>
        <v>0</v>
      </c>
      <c r="H5" s="4" t="s">
        <v>301</v>
      </c>
    </row>
    <row r="6" customFormat="false" ht="15" hidden="false" customHeight="false" outlineLevel="0" collapsed="false">
      <c r="A6" s="3" t="n">
        <v>67</v>
      </c>
      <c r="B6" s="3" t="n">
        <f aca="false">요약!$C$5-(1900+A6)</f>
        <v>59</v>
      </c>
      <c r="C6" s="13" t="s">
        <v>212</v>
      </c>
      <c r="D6" s="3" t="n">
        <f aca="false">COUNTIF(인원명부!$B$5:$B$105,A6)</f>
        <v>0</v>
      </c>
      <c r="E6" s="3" t="n">
        <f aca="false">COUNTIFS(인원명부!$B$5:$B$105,A6,인원명부!$J$5:$J$105,"임원")</f>
        <v>0</v>
      </c>
      <c r="F6" s="3" t="n">
        <f aca="false">COUNTIFS(인원명부!$B$5:$B$105,A6,인원명부!$J$5:$J$105,"부장 이하")</f>
        <v>0</v>
      </c>
      <c r="G6" s="3" t="n">
        <f aca="false">COUNTIFS(인원명부!$B$5:$B$105,A6,인원명부!$K$5:$K$105,"?*")</f>
        <v>0</v>
      </c>
      <c r="H6" s="18" t="s">
        <v>302</v>
      </c>
    </row>
    <row r="7" customFormat="false" ht="15" hidden="false" customHeight="false" outlineLevel="0" collapsed="false">
      <c r="A7" s="3" t="n">
        <v>68</v>
      </c>
      <c r="B7" s="3" t="n">
        <f aca="false">요약!$C$5-(1900+A7)</f>
        <v>58</v>
      </c>
      <c r="C7" s="13" t="s">
        <v>229</v>
      </c>
      <c r="D7" s="3" t="n">
        <f aca="false">COUNTIF(인원명부!$B$5:$B$105,A7)</f>
        <v>0</v>
      </c>
      <c r="E7" s="3" t="n">
        <f aca="false">COUNTIFS(인원명부!$B$5:$B$105,A7,인원명부!$J$5:$J$105,"임원")</f>
        <v>0</v>
      </c>
      <c r="F7" s="3" t="n">
        <f aca="false">COUNTIFS(인원명부!$B$5:$B$105,A7,인원명부!$J$5:$J$105,"부장 이하")</f>
        <v>0</v>
      </c>
      <c r="G7" s="3" t="n">
        <f aca="false">COUNTIFS(인원명부!$B$5:$B$105,A7,인원명부!$K$5:$K$105,"?*")</f>
        <v>0</v>
      </c>
      <c r="H7" s="18" t="s">
        <v>302</v>
      </c>
    </row>
    <row r="8" customFormat="false" ht="15" hidden="false" customHeight="false" outlineLevel="0" collapsed="false">
      <c r="A8" s="3" t="n">
        <v>69</v>
      </c>
      <c r="B8" s="3" t="n">
        <f aca="false">요약!$C$5-(1900+A8)</f>
        <v>57</v>
      </c>
      <c r="C8" s="13" t="s">
        <v>78</v>
      </c>
      <c r="D8" s="3" t="n">
        <f aca="false">COUNTIF(인원명부!$B$5:$B$105,A8)</f>
        <v>1</v>
      </c>
      <c r="E8" s="3" t="n">
        <f aca="false">COUNTIFS(인원명부!$B$5:$B$105,A8,인원명부!$J$5:$J$105,"임원")</f>
        <v>1</v>
      </c>
      <c r="F8" s="3" t="n">
        <f aca="false">COUNTIFS(인원명부!$B$5:$B$105,A8,인원명부!$J$5:$J$105,"부장 이하")</f>
        <v>0</v>
      </c>
      <c r="G8" s="3" t="n">
        <f aca="false">COUNTIFS(인원명부!$B$5:$B$105,A8,인원명부!$K$5:$K$105,"?*")</f>
        <v>0</v>
      </c>
      <c r="H8" s="4" t="s">
        <v>303</v>
      </c>
    </row>
    <row r="9" customFormat="false" ht="15" hidden="false" customHeight="false" outlineLevel="0" collapsed="false">
      <c r="A9" s="3" t="n">
        <v>70</v>
      </c>
      <c r="B9" s="3" t="n">
        <f aca="false">요약!$C$5-(1900+A9)</f>
        <v>56</v>
      </c>
      <c r="C9" s="13" t="s">
        <v>84</v>
      </c>
      <c r="D9" s="3" t="n">
        <f aca="false">COUNTIF(인원명부!$B$5:$B$105,A9)</f>
        <v>7</v>
      </c>
      <c r="E9" s="3" t="n">
        <f aca="false">COUNTIFS(인원명부!$B$5:$B$105,A9,인원명부!$J$5:$J$105,"임원")</f>
        <v>7</v>
      </c>
      <c r="F9" s="3" t="n">
        <f aca="false">COUNTIFS(인원명부!$B$5:$B$105,A9,인원명부!$J$5:$J$105,"부장 이하")</f>
        <v>0</v>
      </c>
      <c r="G9" s="3" t="n">
        <f aca="false">COUNTIFS(인원명부!$B$5:$B$105,A9,인원명부!$K$5:$K$105,"?*")</f>
        <v>0</v>
      </c>
      <c r="H9" s="4" t="s">
        <v>304</v>
      </c>
    </row>
    <row r="10" customFormat="false" ht="15" hidden="false" customHeight="false" outlineLevel="0" collapsed="false">
      <c r="A10" s="3" t="n">
        <v>71</v>
      </c>
      <c r="B10" s="3" t="n">
        <f aca="false">요약!$C$5-(1900+A10)</f>
        <v>55</v>
      </c>
      <c r="C10" s="13" t="s">
        <v>106</v>
      </c>
      <c r="D10" s="3" t="n">
        <f aca="false">COUNTIF(인원명부!$B$5:$B$105,A10)</f>
        <v>2</v>
      </c>
      <c r="E10" s="3" t="n">
        <f aca="false">COUNTIFS(인원명부!$B$5:$B$105,A10,인원명부!$J$5:$J$105,"임원")</f>
        <v>2</v>
      </c>
      <c r="F10" s="3" t="n">
        <f aca="false">COUNTIFS(인원명부!$B$5:$B$105,A10,인원명부!$J$5:$J$105,"부장 이하")</f>
        <v>0</v>
      </c>
      <c r="G10" s="3" t="n">
        <f aca="false">COUNTIFS(인원명부!$B$5:$B$105,A10,인원명부!$K$5:$K$105,"?*")</f>
        <v>0</v>
      </c>
      <c r="H10" s="4" t="s">
        <v>305</v>
      </c>
    </row>
    <row r="11" customFormat="false" ht="15" hidden="false" customHeight="false" outlineLevel="0" collapsed="false">
      <c r="A11" s="3" t="n">
        <v>72</v>
      </c>
      <c r="B11" s="3" t="n">
        <f aca="false">요약!$C$5-(1900+A11)</f>
        <v>54</v>
      </c>
      <c r="C11" s="13" t="s">
        <v>111</v>
      </c>
      <c r="D11" s="3" t="n">
        <f aca="false">COUNTIF(인원명부!$B$5:$B$105,A11)</f>
        <v>3</v>
      </c>
      <c r="E11" s="3" t="n">
        <f aca="false">COUNTIFS(인원명부!$B$5:$B$105,A11,인원명부!$J$5:$J$105,"임원")</f>
        <v>3</v>
      </c>
      <c r="F11" s="3" t="n">
        <f aca="false">COUNTIFS(인원명부!$B$5:$B$105,A11,인원명부!$J$5:$J$105,"부장 이하")</f>
        <v>0</v>
      </c>
      <c r="G11" s="3" t="n">
        <f aca="false">COUNTIFS(인원명부!$B$5:$B$105,A11,인원명부!$K$5:$K$105,"?*")</f>
        <v>0</v>
      </c>
      <c r="H11" s="4" t="s">
        <v>306</v>
      </c>
    </row>
    <row r="12" customFormat="false" ht="26.85" hidden="false" customHeight="false" outlineLevel="0" collapsed="false">
      <c r="A12" s="3" t="n">
        <v>73</v>
      </c>
      <c r="B12" s="3" t="n">
        <f aca="false">요약!$C$5-(1900+A12)</f>
        <v>53</v>
      </c>
      <c r="C12" s="13" t="s">
        <v>119</v>
      </c>
      <c r="D12" s="3" t="n">
        <f aca="false">COUNTIF(인원명부!$B$5:$B$105,A12)</f>
        <v>13</v>
      </c>
      <c r="E12" s="3" t="n">
        <f aca="false">COUNTIFS(인원명부!$B$5:$B$105,A12,인원명부!$J$5:$J$105,"임원")</f>
        <v>9</v>
      </c>
      <c r="F12" s="3" t="n">
        <f aca="false">COUNTIFS(인원명부!$B$5:$B$105,A12,인원명부!$J$5:$J$105,"부장 이하")</f>
        <v>4</v>
      </c>
      <c r="G12" s="3" t="n">
        <f aca="false">COUNTIFS(인원명부!$B$5:$B$105,A12,인원명부!$K$5:$K$105,"?*")</f>
        <v>3</v>
      </c>
      <c r="H12" s="4" t="s">
        <v>307</v>
      </c>
    </row>
    <row r="13" customFormat="false" ht="15" hidden="false" customHeight="false" outlineLevel="0" collapsed="false">
      <c r="A13" s="3" t="n">
        <v>74</v>
      </c>
      <c r="B13" s="3" t="n">
        <f aca="false">요약!$C$5-(1900+A13)</f>
        <v>52</v>
      </c>
      <c r="C13" s="13" t="s">
        <v>155</v>
      </c>
      <c r="D13" s="3" t="n">
        <f aca="false">COUNTIF(인원명부!$B$5:$B$105,A13)</f>
        <v>4</v>
      </c>
      <c r="E13" s="3" t="n">
        <f aca="false">COUNTIFS(인원명부!$B$5:$B$105,A13,인원명부!$J$5:$J$105,"임원")</f>
        <v>1</v>
      </c>
      <c r="F13" s="3" t="n">
        <f aca="false">COUNTIFS(인원명부!$B$5:$B$105,A13,인원명부!$J$5:$J$105,"부장 이하")</f>
        <v>3</v>
      </c>
      <c r="G13" s="3" t="n">
        <f aca="false">COUNTIFS(인원명부!$B$5:$B$105,A13,인원명부!$K$5:$K$105,"?*")</f>
        <v>1</v>
      </c>
      <c r="H13" s="18" t="s">
        <v>308</v>
      </c>
    </row>
    <row r="14" customFormat="false" ht="15" hidden="false" customHeight="false" outlineLevel="0" collapsed="false">
      <c r="A14" s="3" t="n">
        <v>75</v>
      </c>
      <c r="B14" s="3" t="n">
        <f aca="false">요약!$C$5-(1900+A14)</f>
        <v>51</v>
      </c>
      <c r="C14" s="13" t="s">
        <v>165</v>
      </c>
      <c r="D14" s="3" t="n">
        <f aca="false">COUNTIF(인원명부!$B$5:$B$105,A14)</f>
        <v>4</v>
      </c>
      <c r="E14" s="3" t="n">
        <f aca="false">COUNTIFS(인원명부!$B$5:$B$105,A14,인원명부!$J$5:$J$105,"임원")</f>
        <v>2</v>
      </c>
      <c r="F14" s="3" t="n">
        <f aca="false">COUNTIFS(인원명부!$B$5:$B$105,A14,인원명부!$J$5:$J$105,"부장 이하")</f>
        <v>2</v>
      </c>
      <c r="G14" s="3" t="n">
        <f aca="false">COUNTIFS(인원명부!$B$5:$B$105,A14,인원명부!$K$5:$K$105,"?*")</f>
        <v>3</v>
      </c>
      <c r="H14" s="4" t="s">
        <v>309</v>
      </c>
    </row>
    <row r="15" customFormat="false" ht="26.85" hidden="false" customHeight="false" outlineLevel="0" collapsed="false">
      <c r="A15" s="3" t="n">
        <v>76</v>
      </c>
      <c r="B15" s="3" t="n">
        <f aca="false">요약!$C$5-(1900+A15)</f>
        <v>50</v>
      </c>
      <c r="C15" s="13" t="s">
        <v>174</v>
      </c>
      <c r="D15" s="3" t="n">
        <f aca="false">COUNTIF(인원명부!$B$5:$B$105,A15)</f>
        <v>12</v>
      </c>
      <c r="E15" s="3" t="n">
        <f aca="false">COUNTIFS(인원명부!$B$5:$B$105,A15,인원명부!$J$5:$J$105,"임원")</f>
        <v>3</v>
      </c>
      <c r="F15" s="3" t="n">
        <f aca="false">COUNTIFS(인원명부!$B$5:$B$105,A15,인원명부!$J$5:$J$105,"부장 이하")</f>
        <v>8</v>
      </c>
      <c r="G15" s="3" t="n">
        <f aca="false">COUNTIFS(인원명부!$B$5:$B$105,A15,인원명부!$K$5:$K$105,"?*")</f>
        <v>7</v>
      </c>
      <c r="H15" s="18" t="s">
        <v>310</v>
      </c>
    </row>
    <row r="16" customFormat="false" ht="15" hidden="false" customHeight="false" outlineLevel="0" collapsed="false">
      <c r="A16" s="3" t="n">
        <v>77</v>
      </c>
      <c r="B16" s="3" t="n">
        <f aca="false">요약!$C$5-(1900+A16)</f>
        <v>49</v>
      </c>
      <c r="C16" s="13" t="s">
        <v>197</v>
      </c>
      <c r="D16" s="3" t="n">
        <f aca="false">COUNTIF(인원명부!$B$5:$B$105,A16)</f>
        <v>3</v>
      </c>
      <c r="E16" s="3" t="n">
        <f aca="false">COUNTIFS(인원명부!$B$5:$B$105,A16,인원명부!$J$5:$J$105,"임원")</f>
        <v>0</v>
      </c>
      <c r="F16" s="3" t="n">
        <f aca="false">COUNTIFS(인원명부!$B$5:$B$105,A16,인원명부!$J$5:$J$105,"부장 이하")</f>
        <v>3</v>
      </c>
      <c r="G16" s="3" t="n">
        <f aca="false">COUNTIFS(인원명부!$B$5:$B$105,A16,인원명부!$K$5:$K$105,"?*")</f>
        <v>0</v>
      </c>
      <c r="H16" s="18" t="s">
        <v>311</v>
      </c>
    </row>
    <row r="17" customFormat="false" ht="15" hidden="false" customHeight="false" outlineLevel="0" collapsed="false">
      <c r="A17" s="3" t="n">
        <v>78</v>
      </c>
      <c r="B17" s="3" t="n">
        <f aca="false">요약!$C$5-(1900+A17)</f>
        <v>48</v>
      </c>
      <c r="C17" s="13" t="s">
        <v>54</v>
      </c>
      <c r="D17" s="3" t="n">
        <f aca="false">COUNTIF(인원명부!$B$5:$B$105,A17)</f>
        <v>5</v>
      </c>
      <c r="E17" s="3" t="n">
        <f aca="false">COUNTIFS(인원명부!$B$5:$B$105,A17,인원명부!$J$5:$J$105,"임원")</f>
        <v>0</v>
      </c>
      <c r="F17" s="3" t="n">
        <f aca="false">COUNTIFS(인원명부!$B$5:$B$105,A17,인원명부!$J$5:$J$105,"부장 이하")</f>
        <v>4</v>
      </c>
      <c r="G17" s="3" t="n">
        <f aca="false">COUNTIFS(인원명부!$B$5:$B$105,A17,인원명부!$K$5:$K$105,"?*")</f>
        <v>2</v>
      </c>
      <c r="H17" s="18" t="s">
        <v>312</v>
      </c>
    </row>
    <row r="18" customFormat="false" ht="15" hidden="false" customHeight="false" outlineLevel="0" collapsed="false">
      <c r="A18" s="3" t="n">
        <v>79</v>
      </c>
      <c r="B18" s="3" t="n">
        <f aca="false">요약!$C$5-(1900+A18)</f>
        <v>47</v>
      </c>
      <c r="C18" s="13" t="s">
        <v>212</v>
      </c>
      <c r="D18" s="3" t="n">
        <f aca="false">COUNTIF(인원명부!$B$5:$B$105,A18)</f>
        <v>6</v>
      </c>
      <c r="E18" s="3" t="n">
        <f aca="false">COUNTIFS(인원명부!$B$5:$B$105,A18,인원명부!$J$5:$J$105,"임원")</f>
        <v>0</v>
      </c>
      <c r="F18" s="3" t="n">
        <f aca="false">COUNTIFS(인원명부!$B$5:$B$105,A18,인원명부!$J$5:$J$105,"부장 이하")</f>
        <v>6</v>
      </c>
      <c r="G18" s="3" t="n">
        <f aca="false">COUNTIFS(인원명부!$B$5:$B$105,A18,인원명부!$K$5:$K$105,"?*")</f>
        <v>4</v>
      </c>
      <c r="H18" s="4" t="s">
        <v>313</v>
      </c>
    </row>
    <row r="19" customFormat="false" ht="15" hidden="false" customHeight="false" outlineLevel="0" collapsed="false">
      <c r="A19" s="3" t="n">
        <v>80</v>
      </c>
      <c r="B19" s="3" t="n">
        <f aca="false">요약!$C$5-(1900+A19)</f>
        <v>46</v>
      </c>
      <c r="C19" s="13" t="s">
        <v>229</v>
      </c>
      <c r="D19" s="3" t="n">
        <f aca="false">COUNTIF(인원명부!$B$5:$B$105,A19)</f>
        <v>6</v>
      </c>
      <c r="E19" s="3" t="n">
        <f aca="false">COUNTIFS(인원명부!$B$5:$B$105,A19,인원명부!$J$5:$J$105,"임원")</f>
        <v>0</v>
      </c>
      <c r="F19" s="3" t="n">
        <f aca="false">COUNTIFS(인원명부!$B$5:$B$105,A19,인원명부!$J$5:$J$105,"부장 이하")</f>
        <v>6</v>
      </c>
      <c r="G19" s="3" t="n">
        <f aca="false">COUNTIFS(인원명부!$B$5:$B$105,A19,인원명부!$K$5:$K$105,"?*")</f>
        <v>4</v>
      </c>
      <c r="H19" s="4" t="s">
        <v>314</v>
      </c>
    </row>
    <row r="20" customFormat="false" ht="26.85" hidden="false" customHeight="false" outlineLevel="0" collapsed="false">
      <c r="A20" s="3" t="n">
        <v>81</v>
      </c>
      <c r="B20" s="3" t="n">
        <f aca="false">요약!$C$5-(1900+A20)</f>
        <v>45</v>
      </c>
      <c r="C20" s="13" t="s">
        <v>78</v>
      </c>
      <c r="D20" s="3" t="n">
        <f aca="false">COUNTIF(인원명부!$B$5:$B$105,A20)</f>
        <v>7</v>
      </c>
      <c r="E20" s="3" t="n">
        <f aca="false">COUNTIFS(인원명부!$B$5:$B$105,A20,인원명부!$J$5:$J$105,"임원")</f>
        <v>0</v>
      </c>
      <c r="F20" s="3" t="n">
        <f aca="false">COUNTIFS(인원명부!$B$5:$B$105,A20,인원명부!$J$5:$J$105,"부장 이하")</f>
        <v>7</v>
      </c>
      <c r="G20" s="3" t="n">
        <f aca="false">COUNTIFS(인원명부!$B$5:$B$105,A20,인원명부!$K$5:$K$105,"?*")</f>
        <v>0</v>
      </c>
      <c r="H20" s="4" t="s">
        <v>315</v>
      </c>
    </row>
    <row r="21" customFormat="false" ht="26.85" hidden="false" customHeight="false" outlineLevel="0" collapsed="false">
      <c r="A21" s="3" t="n">
        <v>82</v>
      </c>
      <c r="B21" s="3" t="n">
        <f aca="false">요약!$C$5-(1900+A21)</f>
        <v>44</v>
      </c>
      <c r="C21" s="13" t="s">
        <v>84</v>
      </c>
      <c r="D21" s="3" t="n">
        <f aca="false">COUNTIF(인원명부!$B$5:$B$105,A21)</f>
        <v>9</v>
      </c>
      <c r="E21" s="3" t="n">
        <f aca="false">COUNTIFS(인원명부!$B$5:$B$105,A21,인원명부!$J$5:$J$105,"임원")</f>
        <v>0</v>
      </c>
      <c r="F21" s="3" t="n">
        <f aca="false">COUNTIFS(인원명부!$B$5:$B$105,A21,인원명부!$J$5:$J$105,"부장 이하")</f>
        <v>9</v>
      </c>
      <c r="G21" s="3" t="n">
        <f aca="false">COUNTIFS(인원명부!$B$5:$B$105,A21,인원명부!$K$5:$K$105,"?*")</f>
        <v>2</v>
      </c>
      <c r="H21" s="18" t="s">
        <v>316</v>
      </c>
    </row>
    <row r="22" customFormat="false" ht="26.85" hidden="false" customHeight="false" outlineLevel="0" collapsed="false">
      <c r="A22" s="3" t="n">
        <v>83</v>
      </c>
      <c r="B22" s="3" t="n">
        <f aca="false">요약!$C$5-(1900+A22)</f>
        <v>43</v>
      </c>
      <c r="C22" s="13" t="s">
        <v>106</v>
      </c>
      <c r="D22" s="3" t="n">
        <f aca="false">COUNTIF(인원명부!$B$5:$B$105,A22)</f>
        <v>8</v>
      </c>
      <c r="E22" s="3" t="n">
        <f aca="false">COUNTIFS(인원명부!$B$5:$B$105,A22,인원명부!$J$5:$J$105,"임원")</f>
        <v>0</v>
      </c>
      <c r="F22" s="3" t="n">
        <f aca="false">COUNTIFS(인원명부!$B$5:$B$105,A22,인원명부!$J$5:$J$105,"부장 이하")</f>
        <v>8</v>
      </c>
      <c r="G22" s="3" t="n">
        <f aca="false">COUNTIFS(인원명부!$B$5:$B$105,A22,인원명부!$K$5:$K$105,"?*")</f>
        <v>2</v>
      </c>
      <c r="H22" s="4" t="s">
        <v>317</v>
      </c>
    </row>
    <row r="23" customFormat="false" ht="15" hidden="false" customHeight="false" outlineLevel="0" collapsed="false">
      <c r="A23" s="3" t="n">
        <v>84</v>
      </c>
      <c r="B23" s="3" t="n">
        <f aca="false">요약!$C$5-(1900+A23)</f>
        <v>42</v>
      </c>
      <c r="C23" s="13" t="s">
        <v>111</v>
      </c>
      <c r="D23" s="3" t="n">
        <f aca="false">COUNTIF(인원명부!$B$5:$B$105,A23)</f>
        <v>5</v>
      </c>
      <c r="E23" s="3" t="n">
        <f aca="false">COUNTIFS(인원명부!$B$5:$B$105,A23,인원명부!$J$5:$J$105,"임원")</f>
        <v>0</v>
      </c>
      <c r="F23" s="3" t="n">
        <f aca="false">COUNTIFS(인원명부!$B$5:$B$105,A23,인원명부!$J$5:$J$105,"부장 이하")</f>
        <v>5</v>
      </c>
      <c r="G23" s="3" t="n">
        <f aca="false">COUNTIFS(인원명부!$B$5:$B$105,A23,인원명부!$K$5:$K$105,"?*")</f>
        <v>0</v>
      </c>
      <c r="H23" s="4" t="s">
        <v>318</v>
      </c>
    </row>
    <row r="24" customFormat="false" ht="15" hidden="false" customHeight="false" outlineLevel="0" collapsed="false">
      <c r="A24" s="3" t="n">
        <v>85</v>
      </c>
      <c r="B24" s="3" t="n">
        <f aca="false">요약!$C$5-(1900+A24)</f>
        <v>41</v>
      </c>
      <c r="C24" s="13" t="s">
        <v>119</v>
      </c>
      <c r="D24" s="3" t="n">
        <f aca="false">COUNTIF(인원명부!$B$5:$B$105,A24)</f>
        <v>1</v>
      </c>
      <c r="E24" s="3" t="n">
        <f aca="false">COUNTIFS(인원명부!$B$5:$B$105,A24,인원명부!$J$5:$J$105,"임원")</f>
        <v>0</v>
      </c>
      <c r="F24" s="3" t="n">
        <f aca="false">COUNTIFS(인원명부!$B$5:$B$105,A24,인원명부!$J$5:$J$105,"부장 이하")</f>
        <v>1</v>
      </c>
      <c r="G24" s="3" t="n">
        <f aca="false">COUNTIFS(인원명부!$B$5:$B$105,A24,인원명부!$K$5:$K$105,"?*")</f>
        <v>0</v>
      </c>
      <c r="H24" s="18" t="s">
        <v>319</v>
      </c>
    </row>
    <row r="25" customFormat="false" ht="15" hidden="false" customHeight="false" outlineLevel="0" collapsed="false">
      <c r="A25" s="19" t="s">
        <v>320</v>
      </c>
      <c r="B25" s="3"/>
      <c r="C25" s="3"/>
      <c r="D25" s="19" t="n">
        <f aca="false">SUM(D5:D24)</f>
        <v>101</v>
      </c>
      <c r="E25" s="19" t="n">
        <f aca="false">SUM(E5:E24)</f>
        <v>33</v>
      </c>
      <c r="F25" s="19" t="n">
        <f aca="false">SUM(F5:F24)</f>
        <v>66</v>
      </c>
      <c r="G25" s="19" t="n">
        <f aca="false">SUM(G5:G24)</f>
        <v>28</v>
      </c>
      <c r="H25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7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00"/>
  </cols>
  <sheetData>
    <row r="1" customFormat="false" ht="17.35" hidden="false" customHeight="false" outlineLevel="0" collapsed="false">
      <c r="A1" s="1" t="s">
        <v>321</v>
      </c>
    </row>
    <row r="2" customFormat="false" ht="15" hidden="false" customHeight="false" outlineLevel="0" collapsed="false">
      <c r="A2" s="2" t="s">
        <v>322</v>
      </c>
    </row>
    <row r="4" customFormat="false" ht="30" hidden="false" customHeight="true" outlineLevel="0" collapsed="false">
      <c r="A4" s="12" t="s">
        <v>323</v>
      </c>
      <c r="B4" s="12" t="s">
        <v>324</v>
      </c>
      <c r="C4" s="12" t="s">
        <v>298</v>
      </c>
      <c r="D4" s="12" t="s">
        <v>58</v>
      </c>
      <c r="E4" s="12" t="s">
        <v>144</v>
      </c>
      <c r="F4" s="12" t="s">
        <v>299</v>
      </c>
      <c r="G4" s="12" t="s">
        <v>325</v>
      </c>
    </row>
    <row r="5" customFormat="false" ht="26.85" hidden="false" customHeight="false" outlineLevel="0" collapsed="false">
      <c r="A5" s="3" t="n">
        <f aca="false">RANK(C5,$C$5:$C$35)</f>
        <v>1</v>
      </c>
      <c r="B5" s="13" t="s">
        <v>67</v>
      </c>
      <c r="C5" s="3" t="n">
        <f aca="false">COUNTIF(인원명부!$F$5:$F$105,B5)</f>
        <v>8</v>
      </c>
      <c r="D5" s="3" t="n">
        <f aca="false">COUNTIFS(인원명부!$F$5:$F$105,B5,인원명부!$J$5:$J$105,"임원")</f>
        <v>3</v>
      </c>
      <c r="E5" s="3" t="n">
        <f aca="false">COUNTIFS(인원명부!$F$5:$F$105,B5,인원명부!$J$5:$J$105,"부장 이하")</f>
        <v>5</v>
      </c>
      <c r="F5" s="3" t="n">
        <f aca="false">COUNTIFS(인원명부!$F$5:$F$105,B5,인원명부!$K$5:$K$105,"?*")</f>
        <v>2</v>
      </c>
      <c r="G5" s="4" t="s">
        <v>326</v>
      </c>
    </row>
    <row r="6" customFormat="false" ht="15" hidden="false" customHeight="false" outlineLevel="0" collapsed="false">
      <c r="A6" s="3" t="n">
        <f aca="false">RANK(C6,$C$5:$C$35)</f>
        <v>2</v>
      </c>
      <c r="B6" s="13" t="s">
        <v>87</v>
      </c>
      <c r="C6" s="3" t="n">
        <f aca="false">COUNTIF(인원명부!$F$5:$F$105,B6)</f>
        <v>7</v>
      </c>
      <c r="D6" s="3" t="n">
        <f aca="false">COUNTIFS(인원명부!$F$5:$F$105,B6,인원명부!$J$5:$J$105,"임원")</f>
        <v>3</v>
      </c>
      <c r="E6" s="3" t="n">
        <f aca="false">COUNTIFS(인원명부!$F$5:$F$105,B6,인원명부!$J$5:$J$105,"부장 이하")</f>
        <v>4</v>
      </c>
      <c r="F6" s="3" t="n">
        <f aca="false">COUNTIFS(인원명부!$F$5:$F$105,B6,인원명부!$K$5:$K$105,"?*")</f>
        <v>2</v>
      </c>
      <c r="G6" s="4" t="s">
        <v>327</v>
      </c>
    </row>
    <row r="7" customFormat="false" ht="15" hidden="false" customHeight="false" outlineLevel="0" collapsed="false">
      <c r="A7" s="3" t="n">
        <f aca="false">RANK(C7,$C$5:$C$35)</f>
        <v>2</v>
      </c>
      <c r="B7" s="3" t="s">
        <v>109</v>
      </c>
      <c r="C7" s="3" t="n">
        <f aca="false">COUNTIF(인원명부!$F$5:$F$105,B7)</f>
        <v>7</v>
      </c>
      <c r="D7" s="3" t="n">
        <f aca="false">COUNTIFS(인원명부!$F$5:$F$105,B7,인원명부!$J$5:$J$105,"임원")</f>
        <v>2</v>
      </c>
      <c r="E7" s="3" t="n">
        <f aca="false">COUNTIFS(인원명부!$F$5:$F$105,B7,인원명부!$J$5:$J$105,"부장 이하")</f>
        <v>5</v>
      </c>
      <c r="F7" s="3" t="n">
        <f aca="false">COUNTIFS(인원명부!$F$5:$F$105,B7,인원명부!$K$5:$K$105,"?*")</f>
        <v>0</v>
      </c>
      <c r="G7" s="4" t="s">
        <v>328</v>
      </c>
    </row>
    <row r="8" customFormat="false" ht="15" hidden="false" customHeight="false" outlineLevel="0" collapsed="false">
      <c r="A8" s="3" t="n">
        <f aca="false">RANK(C8,$C$5:$C$35)</f>
        <v>2</v>
      </c>
      <c r="B8" s="13" t="s">
        <v>107</v>
      </c>
      <c r="C8" s="3" t="n">
        <f aca="false">COUNTIF(인원명부!$F$5:$F$105,B8)</f>
        <v>7</v>
      </c>
      <c r="D8" s="3" t="n">
        <f aca="false">COUNTIFS(인원명부!$F$5:$F$105,B8,인원명부!$J$5:$J$105,"임원")</f>
        <v>2</v>
      </c>
      <c r="E8" s="3" t="n">
        <f aca="false">COUNTIFS(인원명부!$F$5:$F$105,B8,인원명부!$J$5:$J$105,"부장 이하")</f>
        <v>5</v>
      </c>
      <c r="F8" s="3" t="n">
        <f aca="false">COUNTIFS(인원명부!$F$5:$F$105,B8,인원명부!$K$5:$K$105,"?*")</f>
        <v>3</v>
      </c>
      <c r="G8" s="4" t="s">
        <v>329</v>
      </c>
    </row>
    <row r="9" customFormat="false" ht="15" hidden="false" customHeight="false" outlineLevel="0" collapsed="false">
      <c r="A9" s="3" t="n">
        <f aca="false">RANK(C9,$C$5:$C$35)</f>
        <v>5</v>
      </c>
      <c r="B9" s="3" t="s">
        <v>156</v>
      </c>
      <c r="C9" s="3" t="n">
        <f aca="false">COUNTIF(인원명부!$F$5:$F$105,B9)</f>
        <v>6</v>
      </c>
      <c r="D9" s="3" t="n">
        <f aca="false">COUNTIFS(인원명부!$F$5:$F$105,B9,인원명부!$J$5:$J$105,"임원")</f>
        <v>2</v>
      </c>
      <c r="E9" s="3" t="n">
        <f aca="false">COUNTIFS(인원명부!$F$5:$F$105,B9,인원명부!$J$5:$J$105,"부장 이하")</f>
        <v>4</v>
      </c>
      <c r="F9" s="3" t="n">
        <f aca="false">COUNTIFS(인원명부!$F$5:$F$105,B9,인원명부!$K$5:$K$105,"?*")</f>
        <v>1</v>
      </c>
      <c r="G9" s="4" t="s">
        <v>330</v>
      </c>
    </row>
    <row r="10" customFormat="false" ht="25.35" hidden="false" customHeight="false" outlineLevel="0" collapsed="false">
      <c r="A10" s="3" t="n">
        <f aca="false">RANK(C10,$C$5:$C$35)</f>
        <v>5</v>
      </c>
      <c r="B10" s="13" t="s">
        <v>102</v>
      </c>
      <c r="C10" s="3" t="n">
        <f aca="false">COUNTIF(인원명부!$F$5:$F$105,B10)</f>
        <v>6</v>
      </c>
      <c r="D10" s="3" t="n">
        <f aca="false">COUNTIFS(인원명부!$F$5:$F$105,B10,인원명부!$J$5:$J$105,"임원")</f>
        <v>2</v>
      </c>
      <c r="E10" s="3" t="n">
        <f aca="false">COUNTIFS(인원명부!$F$5:$F$105,B10,인원명부!$J$5:$J$105,"부장 이하")</f>
        <v>4</v>
      </c>
      <c r="F10" s="3" t="n">
        <f aca="false">COUNTIFS(인원명부!$F$5:$F$105,B10,인원명부!$K$5:$K$105,"?*")</f>
        <v>2</v>
      </c>
      <c r="G10" s="4" t="s">
        <v>331</v>
      </c>
    </row>
    <row r="11" customFormat="false" ht="15" hidden="false" customHeight="false" outlineLevel="0" collapsed="false">
      <c r="A11" s="3" t="n">
        <f aca="false">RANK(C11,$C$5:$C$35)</f>
        <v>7</v>
      </c>
      <c r="B11" s="3" t="s">
        <v>150</v>
      </c>
      <c r="C11" s="3" t="n">
        <f aca="false">COUNTIF(인원명부!$F$5:$F$105,B11)</f>
        <v>5</v>
      </c>
      <c r="D11" s="3" t="n">
        <f aca="false">COUNTIFS(인원명부!$F$5:$F$105,B11,인원명부!$J$5:$J$105,"임원")</f>
        <v>0</v>
      </c>
      <c r="E11" s="3" t="n">
        <f aca="false">COUNTIFS(인원명부!$F$5:$F$105,B11,인원명부!$J$5:$J$105,"부장 이하")</f>
        <v>5</v>
      </c>
      <c r="F11" s="3" t="n">
        <f aca="false">COUNTIFS(인원명부!$F$5:$F$105,B11,인원명부!$K$5:$K$105,"?*")</f>
        <v>1</v>
      </c>
      <c r="G11" s="4" t="s">
        <v>332</v>
      </c>
    </row>
    <row r="12" customFormat="false" ht="15" hidden="false" customHeight="false" outlineLevel="0" collapsed="false">
      <c r="A12" s="3" t="n">
        <f aca="false">RANK(C12,$C$5:$C$35)</f>
        <v>8</v>
      </c>
      <c r="B12" s="13" t="s">
        <v>72</v>
      </c>
      <c r="C12" s="3" t="n">
        <f aca="false">COUNTIF(인원명부!$F$5:$F$105,B12)</f>
        <v>4</v>
      </c>
      <c r="D12" s="3" t="n">
        <f aca="false">COUNTIFS(인원명부!$F$5:$F$105,B12,인원명부!$J$5:$J$105,"임원")</f>
        <v>2</v>
      </c>
      <c r="E12" s="3" t="n">
        <f aca="false">COUNTIFS(인원명부!$F$5:$F$105,B12,인원명부!$J$5:$J$105,"부장 이하")</f>
        <v>2</v>
      </c>
      <c r="F12" s="3" t="n">
        <f aca="false">COUNTIFS(인원명부!$F$5:$F$105,B12,인원명부!$K$5:$K$105,"?*")</f>
        <v>1</v>
      </c>
      <c r="G12" s="4" t="s">
        <v>333</v>
      </c>
    </row>
    <row r="13" customFormat="false" ht="15" hidden="false" customHeight="false" outlineLevel="0" collapsed="false">
      <c r="A13" s="3" t="n">
        <f aca="false">RANK(C13,$C$5:$C$35)</f>
        <v>8</v>
      </c>
      <c r="B13" s="13" t="s">
        <v>90</v>
      </c>
      <c r="C13" s="3" t="n">
        <f aca="false">COUNTIF(인원명부!$F$5:$F$105,B13)</f>
        <v>4</v>
      </c>
      <c r="D13" s="3" t="n">
        <f aca="false">COUNTIFS(인원명부!$F$5:$F$105,B13,인원명부!$J$5:$J$105,"임원")</f>
        <v>1</v>
      </c>
      <c r="E13" s="3" t="n">
        <f aca="false">COUNTIFS(인원명부!$F$5:$F$105,B13,인원명부!$J$5:$J$105,"부장 이하")</f>
        <v>3</v>
      </c>
      <c r="F13" s="3" t="n">
        <f aca="false">COUNTIFS(인원명부!$F$5:$F$105,B13,인원명부!$K$5:$K$105,"?*")</f>
        <v>1</v>
      </c>
      <c r="G13" s="4" t="s">
        <v>334</v>
      </c>
    </row>
    <row r="14" customFormat="false" ht="15" hidden="false" customHeight="false" outlineLevel="0" collapsed="false">
      <c r="A14" s="3" t="n">
        <f aca="false">RANK(C14,$C$5:$C$35)</f>
        <v>8</v>
      </c>
      <c r="B14" s="13" t="s">
        <v>79</v>
      </c>
      <c r="C14" s="3" t="n">
        <f aca="false">COUNTIF(인원명부!$F$5:$F$105,B14)</f>
        <v>4</v>
      </c>
      <c r="D14" s="3" t="n">
        <f aca="false">COUNTIFS(인원명부!$F$5:$F$105,B14,인원명부!$J$5:$J$105,"임원")</f>
        <v>1</v>
      </c>
      <c r="E14" s="3" t="n">
        <f aca="false">COUNTIFS(인원명부!$F$5:$F$105,B14,인원명부!$J$5:$J$105,"부장 이하")</f>
        <v>1</v>
      </c>
      <c r="F14" s="3" t="n">
        <f aca="false">COUNTIFS(인원명부!$F$5:$F$105,B14,인원명부!$K$5:$K$105,"?*")</f>
        <v>1</v>
      </c>
      <c r="G14" s="4" t="s">
        <v>335</v>
      </c>
    </row>
    <row r="15" customFormat="false" ht="15" hidden="false" customHeight="false" outlineLevel="0" collapsed="false">
      <c r="A15" s="3" t="n">
        <f aca="false">RANK(C15,$C$5:$C$35)</f>
        <v>8</v>
      </c>
      <c r="B15" s="13" t="s">
        <v>141</v>
      </c>
      <c r="C15" s="3" t="n">
        <f aca="false">COUNTIF(인원명부!$F$5:$F$105,B15)</f>
        <v>4</v>
      </c>
      <c r="D15" s="3" t="n">
        <f aca="false">COUNTIFS(인원명부!$F$5:$F$105,B15,인원명부!$J$5:$J$105,"임원")</f>
        <v>0</v>
      </c>
      <c r="E15" s="3" t="n">
        <f aca="false">COUNTIFS(인원명부!$F$5:$F$105,B15,인원명부!$J$5:$J$105,"부장 이하")</f>
        <v>4</v>
      </c>
      <c r="F15" s="3" t="n">
        <f aca="false">COUNTIFS(인원명부!$F$5:$F$105,B15,인원명부!$K$5:$K$105,"?*")</f>
        <v>1</v>
      </c>
      <c r="G15" s="4" t="s">
        <v>336</v>
      </c>
    </row>
    <row r="16" customFormat="false" ht="15" hidden="false" customHeight="false" outlineLevel="0" collapsed="false">
      <c r="A16" s="3" t="n">
        <f aca="false">RANK(C16,$C$5:$C$35)</f>
        <v>12</v>
      </c>
      <c r="B16" s="13" t="s">
        <v>55</v>
      </c>
      <c r="C16" s="3" t="n">
        <f aca="false">COUNTIF(인원명부!$F$5:$F$105,B16)</f>
        <v>3</v>
      </c>
      <c r="D16" s="3" t="n">
        <f aca="false">COUNTIFS(인원명부!$F$5:$F$105,B16,인원명부!$J$5:$J$105,"임원")</f>
        <v>2</v>
      </c>
      <c r="E16" s="3" t="n">
        <f aca="false">COUNTIFS(인원명부!$F$5:$F$105,B16,인원명부!$J$5:$J$105,"부장 이하")</f>
        <v>1</v>
      </c>
      <c r="F16" s="3" t="n">
        <f aca="false">COUNTIFS(인원명부!$F$5:$F$105,B16,인원명부!$K$5:$K$105,"?*")</f>
        <v>1</v>
      </c>
      <c r="G16" s="4" t="s">
        <v>337</v>
      </c>
    </row>
    <row r="17" customFormat="false" ht="15" hidden="false" customHeight="false" outlineLevel="0" collapsed="false">
      <c r="A17" s="3" t="n">
        <f aca="false">RANK(C17,$C$5:$C$35)</f>
        <v>12</v>
      </c>
      <c r="B17" s="13" t="s">
        <v>96</v>
      </c>
      <c r="C17" s="3" t="n">
        <f aca="false">COUNTIF(인원명부!$F$5:$F$105,B17)</f>
        <v>3</v>
      </c>
      <c r="D17" s="3" t="n">
        <f aca="false">COUNTIFS(인원명부!$F$5:$F$105,B17,인원명부!$J$5:$J$105,"임원")</f>
        <v>2</v>
      </c>
      <c r="E17" s="3" t="n">
        <f aca="false">COUNTIFS(인원명부!$F$5:$F$105,B17,인원명부!$J$5:$J$105,"부장 이하")</f>
        <v>1</v>
      </c>
      <c r="F17" s="3" t="n">
        <f aca="false">COUNTIFS(인원명부!$F$5:$F$105,B17,인원명부!$K$5:$K$105,"?*")</f>
        <v>1</v>
      </c>
      <c r="G17" s="4" t="s">
        <v>338</v>
      </c>
    </row>
    <row r="18" customFormat="false" ht="15" hidden="false" customHeight="false" outlineLevel="0" collapsed="false">
      <c r="A18" s="3" t="n">
        <f aca="false">RANK(C18,$C$5:$C$35)</f>
        <v>12</v>
      </c>
      <c r="B18" s="13" t="s">
        <v>120</v>
      </c>
      <c r="C18" s="3" t="n">
        <f aca="false">COUNTIF(인원명부!$F$5:$F$105,B18)</f>
        <v>3</v>
      </c>
      <c r="D18" s="3" t="n">
        <f aca="false">COUNTIFS(인원명부!$F$5:$F$105,B18,인원명부!$J$5:$J$105,"임원")</f>
        <v>1</v>
      </c>
      <c r="E18" s="3" t="n">
        <f aca="false">COUNTIFS(인원명부!$F$5:$F$105,B18,인원명부!$J$5:$J$105,"부장 이하")</f>
        <v>2</v>
      </c>
      <c r="F18" s="3" t="n">
        <f aca="false">COUNTIFS(인원명부!$F$5:$F$105,B18,인원명부!$K$5:$K$105,"?*")</f>
        <v>2</v>
      </c>
      <c r="G18" s="4" t="s">
        <v>339</v>
      </c>
    </row>
    <row r="19" customFormat="false" ht="15" hidden="false" customHeight="false" outlineLevel="0" collapsed="false">
      <c r="A19" s="3" t="n">
        <f aca="false">RANK(C19,$C$5:$C$35)</f>
        <v>12</v>
      </c>
      <c r="B19" s="13" t="s">
        <v>85</v>
      </c>
      <c r="C19" s="3" t="n">
        <f aca="false">COUNTIF(인원명부!$F$5:$F$105,B19)</f>
        <v>3</v>
      </c>
      <c r="D19" s="3" t="n">
        <f aca="false">COUNTIFS(인원명부!$F$5:$F$105,B19,인원명부!$J$5:$J$105,"임원")</f>
        <v>1</v>
      </c>
      <c r="E19" s="3" t="n">
        <f aca="false">COUNTIFS(인원명부!$F$5:$F$105,B19,인원명부!$J$5:$J$105,"부장 이하")</f>
        <v>2</v>
      </c>
      <c r="F19" s="3" t="n">
        <f aca="false">COUNTIFS(인원명부!$F$5:$F$105,B19,인원명부!$K$5:$K$105,"?*")</f>
        <v>1</v>
      </c>
      <c r="G19" s="4" t="s">
        <v>340</v>
      </c>
    </row>
    <row r="20" customFormat="false" ht="15" hidden="false" customHeight="false" outlineLevel="0" collapsed="false">
      <c r="A20" s="3" t="n">
        <f aca="false">RANK(C20,$C$5:$C$35)</f>
        <v>12</v>
      </c>
      <c r="B20" s="13" t="s">
        <v>138</v>
      </c>
      <c r="C20" s="3" t="n">
        <f aca="false">COUNTIF(인원명부!$F$5:$F$105,B20)</f>
        <v>3</v>
      </c>
      <c r="D20" s="3" t="n">
        <f aca="false">COUNTIFS(인원명부!$F$5:$F$105,B20,인원명부!$J$5:$J$105,"임원")</f>
        <v>1</v>
      </c>
      <c r="E20" s="3" t="n">
        <f aca="false">COUNTIFS(인원명부!$F$5:$F$105,B20,인원명부!$J$5:$J$105,"부장 이하")</f>
        <v>2</v>
      </c>
      <c r="F20" s="3" t="n">
        <f aca="false">COUNTIFS(인원명부!$F$5:$F$105,B20,인원명부!$K$5:$K$105,"?*")</f>
        <v>1</v>
      </c>
      <c r="G20" s="4" t="s">
        <v>341</v>
      </c>
    </row>
    <row r="21" customFormat="false" ht="15" hidden="false" customHeight="false" outlineLevel="0" collapsed="false">
      <c r="A21" s="3" t="n">
        <f aca="false">RANK(C21,$C$5:$C$35)</f>
        <v>12</v>
      </c>
      <c r="B21" s="13" t="s">
        <v>114</v>
      </c>
      <c r="C21" s="3" t="n">
        <f aca="false">COUNTIF(인원명부!$F$5:$F$105,B21)</f>
        <v>3</v>
      </c>
      <c r="D21" s="3" t="n">
        <f aca="false">COUNTIFS(인원명부!$F$5:$F$105,B21,인원명부!$J$5:$J$105,"임원")</f>
        <v>1</v>
      </c>
      <c r="E21" s="3" t="n">
        <f aca="false">COUNTIFS(인원명부!$F$5:$F$105,B21,인원명부!$J$5:$J$105,"부장 이하")</f>
        <v>2</v>
      </c>
      <c r="F21" s="3" t="n">
        <f aca="false">COUNTIFS(인원명부!$F$5:$F$105,B21,인원명부!$K$5:$K$105,"?*")</f>
        <v>0</v>
      </c>
      <c r="G21" s="4" t="s">
        <v>342</v>
      </c>
    </row>
    <row r="22" customFormat="false" ht="15" hidden="false" customHeight="false" outlineLevel="0" collapsed="false">
      <c r="A22" s="3" t="n">
        <f aca="false">RANK(C22,$C$5:$C$35)</f>
        <v>12</v>
      </c>
      <c r="B22" s="13" t="s">
        <v>132</v>
      </c>
      <c r="C22" s="3" t="n">
        <f aca="false">COUNTIF(인원명부!$F$5:$F$105,B22)</f>
        <v>3</v>
      </c>
      <c r="D22" s="3" t="n">
        <f aca="false">COUNTIFS(인원명부!$F$5:$F$105,B22,인원명부!$J$5:$J$105,"임원")</f>
        <v>1</v>
      </c>
      <c r="E22" s="3" t="n">
        <f aca="false">COUNTIFS(인원명부!$F$5:$F$105,B22,인원명부!$J$5:$J$105,"부장 이하")</f>
        <v>2</v>
      </c>
      <c r="F22" s="3" t="n">
        <f aca="false">COUNTIFS(인원명부!$F$5:$F$105,B22,인원명부!$K$5:$K$105,"?*")</f>
        <v>1</v>
      </c>
      <c r="G22" s="4" t="s">
        <v>343</v>
      </c>
    </row>
    <row r="23" customFormat="false" ht="15" hidden="false" customHeight="false" outlineLevel="0" collapsed="false">
      <c r="A23" s="3" t="n">
        <f aca="false">RANK(C23,$C$5:$C$35)</f>
        <v>12</v>
      </c>
      <c r="B23" s="13" t="s">
        <v>93</v>
      </c>
      <c r="C23" s="3" t="n">
        <f aca="false">COUNTIF(인원명부!$F$5:$F$105,B23)</f>
        <v>3</v>
      </c>
      <c r="D23" s="3" t="n">
        <f aca="false">COUNTIFS(인원명부!$F$5:$F$105,B23,인원명부!$J$5:$J$105,"임원")</f>
        <v>1</v>
      </c>
      <c r="E23" s="3" t="n">
        <f aca="false">COUNTIFS(인원명부!$F$5:$F$105,B23,인원명부!$J$5:$J$105,"부장 이하")</f>
        <v>2</v>
      </c>
      <c r="F23" s="3" t="n">
        <f aca="false">COUNTIFS(인원명부!$F$5:$F$105,B23,인원명부!$K$5:$K$105,"?*")</f>
        <v>1</v>
      </c>
      <c r="G23" s="4" t="s">
        <v>344</v>
      </c>
    </row>
    <row r="24" customFormat="false" ht="15" hidden="false" customHeight="false" outlineLevel="0" collapsed="false">
      <c r="A24" s="3" t="n">
        <f aca="false">RANK(C24,$C$5:$C$35)</f>
        <v>20</v>
      </c>
      <c r="B24" s="3" t="s">
        <v>62</v>
      </c>
      <c r="C24" s="3" t="n">
        <f aca="false">COUNTIF(인원명부!$F$5:$F$105,B24)</f>
        <v>2</v>
      </c>
      <c r="D24" s="3" t="n">
        <f aca="false">COUNTIFS(인원명부!$F$5:$F$105,B24,인원명부!$J$5:$J$105,"임원")</f>
        <v>1</v>
      </c>
      <c r="E24" s="3" t="n">
        <f aca="false">COUNTIFS(인원명부!$F$5:$F$105,B24,인원명부!$J$5:$J$105,"부장 이하")</f>
        <v>1</v>
      </c>
      <c r="F24" s="3" t="n">
        <f aca="false">COUNTIFS(인원명부!$F$5:$F$105,B24,인원명부!$K$5:$K$105,"?*")</f>
        <v>1</v>
      </c>
      <c r="G24" s="4" t="s">
        <v>345</v>
      </c>
    </row>
    <row r="25" customFormat="false" ht="15" hidden="false" customHeight="false" outlineLevel="0" collapsed="false">
      <c r="A25" s="3" t="n">
        <f aca="false">RANK(C25,$C$5:$C$35)</f>
        <v>20</v>
      </c>
      <c r="B25" s="13" t="s">
        <v>129</v>
      </c>
      <c r="C25" s="3" t="n">
        <f aca="false">COUNTIF(인원명부!$F$5:$F$105,B25)</f>
        <v>2</v>
      </c>
      <c r="D25" s="3" t="n">
        <f aca="false">COUNTIFS(인원명부!$F$5:$F$105,B25,인원명부!$J$5:$J$105,"임원")</f>
        <v>1</v>
      </c>
      <c r="E25" s="3" t="n">
        <f aca="false">COUNTIFS(인원명부!$F$5:$F$105,B25,인원명부!$J$5:$J$105,"부장 이하")</f>
        <v>1</v>
      </c>
      <c r="F25" s="3" t="n">
        <f aca="false">COUNTIFS(인원명부!$F$5:$F$105,B25,인원명부!$K$5:$K$105,"?*")</f>
        <v>1</v>
      </c>
      <c r="G25" s="4" t="s">
        <v>346</v>
      </c>
    </row>
    <row r="26" customFormat="false" ht="15" hidden="false" customHeight="false" outlineLevel="0" collapsed="false">
      <c r="A26" s="3" t="n">
        <f aca="false">RANK(C26,$C$5:$C$35)</f>
        <v>20</v>
      </c>
      <c r="B26" s="13" t="s">
        <v>167</v>
      </c>
      <c r="C26" s="3" t="n">
        <f aca="false">COUNTIF(인원명부!$F$5:$F$105,B26)</f>
        <v>2</v>
      </c>
      <c r="D26" s="3" t="n">
        <f aca="false">COUNTIFS(인원명부!$F$5:$F$105,B26,인원명부!$J$5:$J$105,"임원")</f>
        <v>1</v>
      </c>
      <c r="E26" s="3" t="n">
        <f aca="false">COUNTIFS(인원명부!$F$5:$F$105,B26,인원명부!$J$5:$J$105,"부장 이하")</f>
        <v>1</v>
      </c>
      <c r="F26" s="3" t="n">
        <f aca="false">COUNTIFS(인원명부!$F$5:$F$105,B26,인원명부!$K$5:$K$105,"?*")</f>
        <v>1</v>
      </c>
      <c r="G26" s="4" t="s">
        <v>347</v>
      </c>
    </row>
    <row r="27" customFormat="false" ht="15" hidden="false" customHeight="false" outlineLevel="0" collapsed="false">
      <c r="A27" s="3" t="n">
        <f aca="false">RANK(C27,$C$5:$C$35)</f>
        <v>23</v>
      </c>
      <c r="B27" s="13" t="s">
        <v>98</v>
      </c>
      <c r="C27" s="3" t="n">
        <f aca="false">COUNTIF(인원명부!$F$5:$F$105,B27)</f>
        <v>1</v>
      </c>
      <c r="D27" s="3" t="n">
        <f aca="false">COUNTIFS(인원명부!$F$5:$F$105,B27,인원명부!$J$5:$J$105,"임원")</f>
        <v>1</v>
      </c>
      <c r="E27" s="3" t="n">
        <f aca="false">COUNTIFS(인원명부!$F$5:$F$105,B27,인원명부!$J$5:$J$105,"부장 이하")</f>
        <v>0</v>
      </c>
      <c r="F27" s="3" t="n">
        <f aca="false">COUNTIFS(인원명부!$F$5:$F$105,B27,인원명부!$K$5:$K$105,"?*")</f>
        <v>0</v>
      </c>
      <c r="G27" s="4" t="s">
        <v>348</v>
      </c>
    </row>
    <row r="28" customFormat="false" ht="15" hidden="false" customHeight="false" outlineLevel="0" collapsed="false">
      <c r="A28" s="3" t="n">
        <f aca="false">RANK(C28,$C$5:$C$35)</f>
        <v>23</v>
      </c>
      <c r="B28" s="13" t="s">
        <v>75</v>
      </c>
      <c r="C28" s="3" t="n">
        <f aca="false">COUNTIF(인원명부!$F$5:$F$105,B28)</f>
        <v>1</v>
      </c>
      <c r="D28" s="3" t="n">
        <f aca="false">COUNTIFS(인원명부!$F$5:$F$105,B28,인원명부!$J$5:$J$105,"임원")</f>
        <v>1</v>
      </c>
      <c r="E28" s="3" t="n">
        <f aca="false">COUNTIFS(인원명부!$F$5:$F$105,B28,인원명부!$J$5:$J$105,"부장 이하")</f>
        <v>0</v>
      </c>
      <c r="F28" s="3" t="n">
        <f aca="false">COUNTIFS(인원명부!$F$5:$F$105,B28,인원명부!$K$5:$K$105,"?*")</f>
        <v>0</v>
      </c>
      <c r="G28" s="4" t="s">
        <v>349</v>
      </c>
    </row>
    <row r="29" customFormat="false" ht="15" hidden="false" customHeight="false" outlineLevel="0" collapsed="false">
      <c r="A29" s="3" t="n">
        <f aca="false">RANK(C29,$C$5:$C$35)</f>
        <v>23</v>
      </c>
      <c r="B29" s="3" t="s">
        <v>252</v>
      </c>
      <c r="C29" s="3" t="n">
        <f aca="false">COUNTIF(인원명부!$F$5:$F$105,B29)</f>
        <v>1</v>
      </c>
      <c r="D29" s="3" t="n">
        <f aca="false">COUNTIFS(인원명부!$F$5:$F$105,B29,인원명부!$J$5:$J$105,"임원")</f>
        <v>0</v>
      </c>
      <c r="E29" s="3" t="n">
        <f aca="false">COUNTIFS(인원명부!$F$5:$F$105,B29,인원명부!$J$5:$J$105,"부장 이하")</f>
        <v>1</v>
      </c>
      <c r="F29" s="3" t="n">
        <f aca="false">COUNTIFS(인원명부!$F$5:$F$105,B29,인원명부!$K$5:$K$105,"?*")</f>
        <v>0</v>
      </c>
      <c r="G29" s="4" t="s">
        <v>350</v>
      </c>
    </row>
    <row r="30" customFormat="false" ht="15" hidden="false" customHeight="false" outlineLevel="0" collapsed="false">
      <c r="A30" s="3" t="n">
        <f aca="false">RANK(C30,$C$5:$C$35)</f>
        <v>23</v>
      </c>
      <c r="B30" s="13" t="s">
        <v>245</v>
      </c>
      <c r="C30" s="3" t="n">
        <f aca="false">COUNTIF(인원명부!$F$5:$F$105,B30)</f>
        <v>1</v>
      </c>
      <c r="D30" s="3" t="n">
        <f aca="false">COUNTIFS(인원명부!$F$5:$F$105,B30,인원명부!$J$5:$J$105,"임원")</f>
        <v>0</v>
      </c>
      <c r="E30" s="3" t="n">
        <f aca="false">COUNTIFS(인원명부!$F$5:$F$105,B30,인원명부!$J$5:$J$105,"부장 이하")</f>
        <v>1</v>
      </c>
      <c r="F30" s="3" t="n">
        <f aca="false">COUNTIFS(인원명부!$F$5:$F$105,B30,인원명부!$K$5:$K$105,"?*")</f>
        <v>0</v>
      </c>
      <c r="G30" s="4" t="s">
        <v>351</v>
      </c>
    </row>
    <row r="31" customFormat="false" ht="15" hidden="false" customHeight="false" outlineLevel="0" collapsed="false">
      <c r="A31" s="3" t="n">
        <f aca="false">RANK(C31,$C$5:$C$35)</f>
        <v>23</v>
      </c>
      <c r="B31" s="13" t="s">
        <v>218</v>
      </c>
      <c r="C31" s="3" t="n">
        <f aca="false">COUNTIF(인원명부!$F$5:$F$105,B31)</f>
        <v>1</v>
      </c>
      <c r="D31" s="3" t="n">
        <f aca="false">COUNTIFS(인원명부!$F$5:$F$105,B31,인원명부!$J$5:$J$105,"임원")</f>
        <v>0</v>
      </c>
      <c r="E31" s="3" t="n">
        <f aca="false">COUNTIFS(인원명부!$F$5:$F$105,B31,인원명부!$J$5:$J$105,"부장 이하")</f>
        <v>1</v>
      </c>
      <c r="F31" s="3" t="n">
        <f aca="false">COUNTIFS(인원명부!$F$5:$F$105,B31,인원명부!$K$5:$K$105,"?*")</f>
        <v>1</v>
      </c>
      <c r="G31" s="4" t="s">
        <v>352</v>
      </c>
    </row>
    <row r="32" customFormat="false" ht="15" hidden="false" customHeight="false" outlineLevel="0" collapsed="false">
      <c r="A32" s="3" t="n">
        <f aca="false">RANK(C32,$C$5:$C$35)</f>
        <v>23</v>
      </c>
      <c r="B32" s="13" t="s">
        <v>241</v>
      </c>
      <c r="C32" s="3" t="n">
        <f aca="false">COUNTIF(인원명부!$F$5:$F$105,B32)</f>
        <v>1</v>
      </c>
      <c r="D32" s="3" t="n">
        <f aca="false">COUNTIFS(인원명부!$F$5:$F$105,B32,인원명부!$J$5:$J$105,"임원")</f>
        <v>0</v>
      </c>
      <c r="E32" s="3" t="n">
        <f aca="false">COUNTIFS(인원명부!$F$5:$F$105,B32,인원명부!$J$5:$J$105,"부장 이하")</f>
        <v>1</v>
      </c>
      <c r="F32" s="3" t="n">
        <f aca="false">COUNTIFS(인원명부!$F$5:$F$105,B32,인원명부!$K$5:$K$105,"?*")</f>
        <v>0</v>
      </c>
      <c r="G32" s="4" t="s">
        <v>353</v>
      </c>
    </row>
    <row r="33" customFormat="false" ht="15" hidden="false" customHeight="false" outlineLevel="0" collapsed="false">
      <c r="A33" s="3" t="n">
        <f aca="false">RANK(C33,$C$5:$C$35)</f>
        <v>23</v>
      </c>
      <c r="B33" s="13" t="s">
        <v>266</v>
      </c>
      <c r="C33" s="3" t="n">
        <f aca="false">COUNTIF(인원명부!$F$5:$F$105,B33)</f>
        <v>1</v>
      </c>
      <c r="D33" s="3" t="n">
        <f aca="false">COUNTIFS(인원명부!$F$5:$F$105,B33,인원명부!$J$5:$J$105,"임원")</f>
        <v>0</v>
      </c>
      <c r="E33" s="3" t="n">
        <f aca="false">COUNTIFS(인원명부!$F$5:$F$105,B33,인원명부!$J$5:$J$105,"부장 이하")</f>
        <v>1</v>
      </c>
      <c r="F33" s="3" t="n">
        <f aca="false">COUNTIFS(인원명부!$F$5:$F$105,B33,인원명부!$K$5:$K$105,"?*")</f>
        <v>1</v>
      </c>
      <c r="G33" s="4" t="s">
        <v>354</v>
      </c>
    </row>
    <row r="34" customFormat="false" ht="15" hidden="false" customHeight="false" outlineLevel="0" collapsed="false">
      <c r="A34" s="3" t="n">
        <f aca="false">RANK(C34,$C$5:$C$35)</f>
        <v>23</v>
      </c>
      <c r="B34" s="13" t="s">
        <v>288</v>
      </c>
      <c r="C34" s="3" t="n">
        <f aca="false">COUNTIF(인원명부!$F$5:$F$105,B34)</f>
        <v>1</v>
      </c>
      <c r="D34" s="3" t="n">
        <f aca="false">COUNTIFS(인원명부!$F$5:$F$105,B34,인원명부!$J$5:$J$105,"임원")</f>
        <v>0</v>
      </c>
      <c r="E34" s="3" t="n">
        <f aca="false">COUNTIFS(인원명부!$F$5:$F$105,B34,인원명부!$J$5:$J$105,"부장 이하")</f>
        <v>1</v>
      </c>
      <c r="F34" s="3" t="n">
        <f aca="false">COUNTIFS(인원명부!$F$5:$F$105,B34,인원명부!$K$5:$K$105,"?*")</f>
        <v>0</v>
      </c>
      <c r="G34" s="4" t="s">
        <v>355</v>
      </c>
    </row>
    <row r="35" customFormat="false" ht="15" hidden="false" customHeight="false" outlineLevel="0" collapsed="false">
      <c r="A35" s="3" t="n">
        <f aca="false">RANK(C35,$C$5:$C$35)</f>
        <v>23</v>
      </c>
      <c r="B35" s="13" t="s">
        <v>270</v>
      </c>
      <c r="C35" s="3" t="n">
        <f aca="false">COUNTIF(인원명부!$F$5:$F$105,B35)</f>
        <v>1</v>
      </c>
      <c r="D35" s="3" t="n">
        <f aca="false">COUNTIFS(인원명부!$F$5:$F$105,B35,인원명부!$J$5:$J$105,"임원")</f>
        <v>0</v>
      </c>
      <c r="E35" s="3" t="n">
        <f aca="false">COUNTIFS(인원명부!$F$5:$F$105,B35,인원명부!$J$5:$J$105,"부장 이하")</f>
        <v>1</v>
      </c>
      <c r="F35" s="3" t="n">
        <f aca="false">COUNTIFS(인원명부!$F$5:$F$105,B35,인원명부!$K$5:$K$105,"?*")</f>
        <v>0</v>
      </c>
      <c r="G35" s="4" t="s">
        <v>356</v>
      </c>
    </row>
    <row r="36" customFormat="false" ht="15" hidden="false" customHeight="false" outlineLevel="0" collapsed="false">
      <c r="A36" s="3"/>
      <c r="B36" s="19" t="s">
        <v>320</v>
      </c>
      <c r="C36" s="19" t="n">
        <f aca="false">SUM(C5:C35)</f>
        <v>101</v>
      </c>
      <c r="D36" s="19" t="n">
        <f aca="false">SUM(D5:D35)</f>
        <v>33</v>
      </c>
      <c r="E36" s="19" t="n">
        <f aca="false">SUM(E5:E35)</f>
        <v>66</v>
      </c>
      <c r="F36" s="19" t="n">
        <f aca="false">SUM(F5:F35)</f>
        <v>28</v>
      </c>
      <c r="G36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7"/>
    <col collapsed="false" customWidth="true" hidden="false" outlineLevel="0" max="6" min="6" style="0" width="9"/>
    <col collapsed="false" customWidth="true" hidden="false" outlineLevel="0" max="7" min="7" style="0" width="100"/>
  </cols>
  <sheetData>
    <row r="1" customFormat="false" ht="17.35" hidden="false" customHeight="false" outlineLevel="0" collapsed="false">
      <c r="A1" s="1" t="s">
        <v>357</v>
      </c>
    </row>
    <row r="2" customFormat="false" ht="15" hidden="false" customHeight="false" outlineLevel="0" collapsed="false">
      <c r="A2" s="2" t="s">
        <v>358</v>
      </c>
    </row>
    <row r="4" customFormat="false" ht="30" hidden="false" customHeight="true" outlineLevel="0" collapsed="false">
      <c r="A4" s="12" t="s">
        <v>323</v>
      </c>
      <c r="B4" s="12" t="s">
        <v>359</v>
      </c>
      <c r="C4" s="12" t="s">
        <v>360</v>
      </c>
      <c r="D4" s="12" t="s">
        <v>298</v>
      </c>
      <c r="E4" s="12" t="s">
        <v>58</v>
      </c>
      <c r="F4" s="12" t="s">
        <v>144</v>
      </c>
      <c r="G4" s="12" t="s">
        <v>361</v>
      </c>
    </row>
    <row r="5" customFormat="false" ht="39.55" hidden="false" customHeight="false" outlineLevel="0" collapsed="false">
      <c r="A5" s="3" t="n">
        <f aca="false">RANK(D5,$D$5:$D$49)</f>
        <v>1</v>
      </c>
      <c r="B5" s="13" t="s">
        <v>70</v>
      </c>
      <c r="C5" s="13" t="s">
        <v>71</v>
      </c>
      <c r="D5" s="3" t="n">
        <f aca="false">COUNTIF(인원명부!$L$5:$L$105,B5)</f>
        <v>11</v>
      </c>
      <c r="E5" s="3" t="n">
        <f aca="false">COUNTIFS(인원명부!$L$5:$L$105,B5,인원명부!$J$5:$J$105,"임원")</f>
        <v>3</v>
      </c>
      <c r="F5" s="3" t="n">
        <f aca="false">COUNTIFS(인원명부!$L$5:$L$105,B5,인원명부!$J$5:$J$105,"부장 이하")</f>
        <v>7</v>
      </c>
      <c r="G5" s="4" t="s">
        <v>362</v>
      </c>
    </row>
    <row r="6" customFormat="false" ht="15" hidden="false" customHeight="false" outlineLevel="0" collapsed="false">
      <c r="A6" s="3" t="n">
        <f aca="false">RANK(D6,$D$5:$D$49)</f>
        <v>2</v>
      </c>
      <c r="B6" s="13" t="s">
        <v>116</v>
      </c>
      <c r="C6" s="13" t="s">
        <v>105</v>
      </c>
      <c r="D6" s="3" t="n">
        <f aca="false">COUNTIF(인원명부!$L$5:$L$105,B6)</f>
        <v>5</v>
      </c>
      <c r="E6" s="3" t="n">
        <f aca="false">COUNTIFS(인원명부!$L$5:$L$105,B6,인원명부!$J$5:$J$105,"임원")</f>
        <v>1</v>
      </c>
      <c r="F6" s="3" t="n">
        <f aca="false">COUNTIFS(인원명부!$L$5:$L$105,B6,인원명부!$J$5:$J$105,"부장 이하")</f>
        <v>4</v>
      </c>
      <c r="G6" s="4" t="s">
        <v>363</v>
      </c>
    </row>
    <row r="7" customFormat="false" ht="15" hidden="false" customHeight="false" outlineLevel="0" collapsed="false">
      <c r="A7" s="3" t="n">
        <f aca="false">RANK(D7,$D$5:$D$49)</f>
        <v>3</v>
      </c>
      <c r="B7" s="13" t="s">
        <v>77</v>
      </c>
      <c r="C7" s="13" t="s">
        <v>71</v>
      </c>
      <c r="D7" s="3" t="n">
        <f aca="false">COUNTIF(인원명부!$L$5:$L$105,B7)</f>
        <v>4</v>
      </c>
      <c r="E7" s="3" t="n">
        <f aca="false">COUNTIFS(인원명부!$L$5:$L$105,B7,인원명부!$J$5:$J$105,"임원")</f>
        <v>3</v>
      </c>
      <c r="F7" s="3" t="n">
        <f aca="false">COUNTIFS(인원명부!$L$5:$L$105,B7,인원명부!$J$5:$J$105,"부장 이하")</f>
        <v>1</v>
      </c>
      <c r="G7" s="4" t="s">
        <v>364</v>
      </c>
    </row>
    <row r="8" customFormat="false" ht="15" hidden="false" customHeight="false" outlineLevel="0" collapsed="false">
      <c r="A8" s="3" t="n">
        <f aca="false">RANK(D8,$D$5:$D$49)</f>
        <v>3</v>
      </c>
      <c r="B8" s="13" t="s">
        <v>92</v>
      </c>
      <c r="C8" s="13" t="s">
        <v>71</v>
      </c>
      <c r="D8" s="3" t="n">
        <f aca="false">COUNTIF(인원명부!$L$5:$L$105,B8)</f>
        <v>4</v>
      </c>
      <c r="E8" s="3" t="n">
        <f aca="false">COUNTIFS(인원명부!$L$5:$L$105,B8,인원명부!$J$5:$J$105,"임원")</f>
        <v>3</v>
      </c>
      <c r="F8" s="3" t="n">
        <f aca="false">COUNTIFS(인원명부!$L$5:$L$105,B8,인원명부!$J$5:$J$105,"부장 이하")</f>
        <v>1</v>
      </c>
      <c r="G8" s="4" t="s">
        <v>365</v>
      </c>
    </row>
    <row r="9" customFormat="false" ht="15" hidden="false" customHeight="false" outlineLevel="0" collapsed="false">
      <c r="A9" s="3" t="n">
        <f aca="false">RANK(D9,$D$5:$D$49)</f>
        <v>3</v>
      </c>
      <c r="B9" s="13" t="s">
        <v>124</v>
      </c>
      <c r="C9" s="13" t="s">
        <v>71</v>
      </c>
      <c r="D9" s="3" t="n">
        <f aca="false">COUNTIF(인원명부!$L$5:$L$105,B9)</f>
        <v>4</v>
      </c>
      <c r="E9" s="3" t="n">
        <f aca="false">COUNTIFS(인원명부!$L$5:$L$105,B9,인원명부!$J$5:$J$105,"임원")</f>
        <v>1</v>
      </c>
      <c r="F9" s="3" t="n">
        <f aca="false">COUNTIFS(인원명부!$L$5:$L$105,B9,인원명부!$J$5:$J$105,"부장 이하")</f>
        <v>3</v>
      </c>
      <c r="G9" s="4" t="s">
        <v>366</v>
      </c>
    </row>
    <row r="10" customFormat="false" ht="15" hidden="false" customHeight="false" outlineLevel="0" collapsed="false">
      <c r="A10" s="3" t="n">
        <f aca="false">RANK(D10,$D$5:$D$49)</f>
        <v>3</v>
      </c>
      <c r="B10" s="13" t="s">
        <v>149</v>
      </c>
      <c r="C10" s="13" t="s">
        <v>71</v>
      </c>
      <c r="D10" s="3" t="n">
        <f aca="false">COUNTIF(인원명부!$L$5:$L$105,B10)</f>
        <v>4</v>
      </c>
      <c r="E10" s="3" t="n">
        <f aca="false">COUNTIFS(인원명부!$L$5:$L$105,B10,인원명부!$J$5:$J$105,"임원")</f>
        <v>0</v>
      </c>
      <c r="F10" s="3" t="n">
        <f aca="false">COUNTIFS(인원명부!$L$5:$L$105,B10,인원명부!$J$5:$J$105,"부장 이하")</f>
        <v>4</v>
      </c>
      <c r="G10" s="4" t="s">
        <v>367</v>
      </c>
    </row>
    <row r="11" customFormat="false" ht="15" hidden="false" customHeight="false" outlineLevel="0" collapsed="false">
      <c r="A11" s="3" t="n">
        <f aca="false">RANK(D11,$D$5:$D$49)</f>
        <v>3</v>
      </c>
      <c r="B11" s="13" t="s">
        <v>81</v>
      </c>
      <c r="C11" s="13" t="s">
        <v>71</v>
      </c>
      <c r="D11" s="3" t="n">
        <f aca="false">COUNTIF(인원명부!$L$5:$L$105,B11)</f>
        <v>4</v>
      </c>
      <c r="E11" s="3" t="n">
        <f aca="false">COUNTIFS(인원명부!$L$5:$L$105,B11,인원명부!$J$5:$J$105,"임원")</f>
        <v>1</v>
      </c>
      <c r="F11" s="3" t="n">
        <f aca="false">COUNTIFS(인원명부!$L$5:$L$105,B11,인원명부!$J$5:$J$105,"부장 이하")</f>
        <v>3</v>
      </c>
      <c r="G11" s="4" t="s">
        <v>368</v>
      </c>
    </row>
    <row r="12" customFormat="false" ht="15" hidden="false" customHeight="false" outlineLevel="0" collapsed="false">
      <c r="A12" s="3" t="n">
        <f aca="false">RANK(D12,$D$5:$D$49)</f>
        <v>3</v>
      </c>
      <c r="B12" s="13" t="s">
        <v>140</v>
      </c>
      <c r="C12" s="13" t="s">
        <v>101</v>
      </c>
      <c r="D12" s="3" t="n">
        <f aca="false">COUNTIF(인원명부!$L$5:$L$105,B12)</f>
        <v>4</v>
      </c>
      <c r="E12" s="3" t="n">
        <f aca="false">COUNTIFS(인원명부!$L$5:$L$105,B12,인원명부!$J$5:$J$105,"임원")</f>
        <v>1</v>
      </c>
      <c r="F12" s="3" t="n">
        <f aca="false">COUNTIFS(인원명부!$L$5:$L$105,B12,인원명부!$J$5:$J$105,"부장 이하")</f>
        <v>3</v>
      </c>
      <c r="G12" s="4" t="s">
        <v>369</v>
      </c>
    </row>
    <row r="13" customFormat="false" ht="15" hidden="false" customHeight="false" outlineLevel="0" collapsed="false">
      <c r="A13" s="3" t="n">
        <f aca="false">RANK(D13,$D$5:$D$49)</f>
        <v>9</v>
      </c>
      <c r="B13" s="13" t="s">
        <v>122</v>
      </c>
      <c r="C13" s="13" t="s">
        <v>71</v>
      </c>
      <c r="D13" s="3" t="n">
        <f aca="false">COUNTIF(인원명부!$L$5:$L$105,B13)</f>
        <v>3</v>
      </c>
      <c r="E13" s="3" t="n">
        <f aca="false">COUNTIFS(인원명부!$L$5:$L$105,B13,인원명부!$J$5:$J$105,"임원")</f>
        <v>1</v>
      </c>
      <c r="F13" s="3" t="n">
        <f aca="false">COUNTIFS(인원명부!$L$5:$L$105,B13,인원명부!$J$5:$J$105,"부장 이하")</f>
        <v>2</v>
      </c>
      <c r="G13" s="4" t="s">
        <v>370</v>
      </c>
    </row>
    <row r="14" customFormat="false" ht="15" hidden="false" customHeight="false" outlineLevel="0" collapsed="false">
      <c r="A14" s="3" t="n">
        <f aca="false">RANK(D14,$D$5:$D$49)</f>
        <v>9</v>
      </c>
      <c r="B14" s="13" t="s">
        <v>169</v>
      </c>
      <c r="C14" s="13" t="s">
        <v>71</v>
      </c>
      <c r="D14" s="3" t="n">
        <f aca="false">COUNTIF(인원명부!$L$5:$L$105,B14)</f>
        <v>3</v>
      </c>
      <c r="E14" s="3" t="n">
        <f aca="false">COUNTIFS(인원명부!$L$5:$L$105,B14,인원명부!$J$5:$J$105,"임원")</f>
        <v>1</v>
      </c>
      <c r="F14" s="3" t="n">
        <f aca="false">COUNTIFS(인원명부!$L$5:$L$105,B14,인원명부!$J$5:$J$105,"부장 이하")</f>
        <v>2</v>
      </c>
      <c r="G14" s="4" t="s">
        <v>371</v>
      </c>
    </row>
    <row r="15" customFormat="false" ht="15" hidden="false" customHeight="false" outlineLevel="0" collapsed="false">
      <c r="A15" s="3" t="n">
        <f aca="false">RANK(D15,$D$5:$D$49)</f>
        <v>9</v>
      </c>
      <c r="B15" s="13" t="s">
        <v>176</v>
      </c>
      <c r="C15" s="13" t="s">
        <v>105</v>
      </c>
      <c r="D15" s="3" t="n">
        <f aca="false">COUNTIF(인원명부!$L$5:$L$105,B15)</f>
        <v>3</v>
      </c>
      <c r="E15" s="3" t="n">
        <f aca="false">COUNTIFS(인원명부!$L$5:$L$105,B15,인원명부!$J$5:$J$105,"임원")</f>
        <v>1</v>
      </c>
      <c r="F15" s="3" t="n">
        <f aca="false">COUNTIFS(인원명부!$L$5:$L$105,B15,인원명부!$J$5:$J$105,"부장 이하")</f>
        <v>2</v>
      </c>
      <c r="G15" s="18" t="s">
        <v>372</v>
      </c>
    </row>
    <row r="16" customFormat="false" ht="15" hidden="false" customHeight="false" outlineLevel="0" collapsed="false">
      <c r="A16" s="3" t="n">
        <f aca="false">RANK(D16,$D$5:$D$49)</f>
        <v>9</v>
      </c>
      <c r="B16" s="13" t="s">
        <v>104</v>
      </c>
      <c r="C16" s="13" t="s">
        <v>105</v>
      </c>
      <c r="D16" s="3" t="n">
        <f aca="false">COUNTIF(인원명부!$L$5:$L$105,B16)</f>
        <v>3</v>
      </c>
      <c r="E16" s="3" t="n">
        <f aca="false">COUNTIFS(인원명부!$L$5:$L$105,B16,인원명부!$J$5:$J$105,"임원")</f>
        <v>1</v>
      </c>
      <c r="F16" s="3" t="n">
        <f aca="false">COUNTIFS(인원명부!$L$5:$L$105,B16,인원명부!$J$5:$J$105,"부장 이하")</f>
        <v>2</v>
      </c>
      <c r="G16" s="4" t="s">
        <v>373</v>
      </c>
    </row>
    <row r="17" customFormat="false" ht="15" hidden="false" customHeight="false" outlineLevel="0" collapsed="false">
      <c r="A17" s="3" t="n">
        <f aca="false">RANK(D17,$D$5:$D$49)</f>
        <v>9</v>
      </c>
      <c r="B17" s="13" t="s">
        <v>227</v>
      </c>
      <c r="C17" s="13" t="s">
        <v>66</v>
      </c>
      <c r="D17" s="3" t="n">
        <f aca="false">COUNTIF(인원명부!$L$5:$L$105,B17)</f>
        <v>3</v>
      </c>
      <c r="E17" s="3" t="n">
        <f aca="false">COUNTIFS(인원명부!$L$5:$L$105,B17,인원명부!$J$5:$J$105,"임원")</f>
        <v>0</v>
      </c>
      <c r="F17" s="3" t="n">
        <f aca="false">COUNTIFS(인원명부!$L$5:$L$105,B17,인원명부!$J$5:$J$105,"부장 이하")</f>
        <v>3</v>
      </c>
      <c r="G17" s="4" t="s">
        <v>374</v>
      </c>
    </row>
    <row r="18" customFormat="false" ht="15" hidden="false" customHeight="false" outlineLevel="0" collapsed="false">
      <c r="A18" s="3" t="n">
        <f aca="false">RANK(D18,$D$5:$D$49)</f>
        <v>14</v>
      </c>
      <c r="B18" s="13" t="s">
        <v>74</v>
      </c>
      <c r="C18" s="13" t="s">
        <v>71</v>
      </c>
      <c r="D18" s="3" t="n">
        <f aca="false">COUNTIF(인원명부!$L$5:$L$105,B18)</f>
        <v>2</v>
      </c>
      <c r="E18" s="3" t="n">
        <f aca="false">COUNTIFS(인원명부!$L$5:$L$105,B18,인원명부!$J$5:$J$105,"임원")</f>
        <v>1</v>
      </c>
      <c r="F18" s="3" t="n">
        <f aca="false">COUNTIFS(인원명부!$L$5:$L$105,B18,인원명부!$J$5:$J$105,"부장 이하")</f>
        <v>1</v>
      </c>
      <c r="G18" s="4" t="s">
        <v>375</v>
      </c>
    </row>
    <row r="19" customFormat="false" ht="15" hidden="false" customHeight="false" outlineLevel="0" collapsed="false">
      <c r="A19" s="3" t="n">
        <f aca="false">RANK(D19,$D$5:$D$49)</f>
        <v>14</v>
      </c>
      <c r="B19" s="13" t="s">
        <v>89</v>
      </c>
      <c r="C19" s="13" t="s">
        <v>71</v>
      </c>
      <c r="D19" s="3" t="n">
        <f aca="false">COUNTIF(인원명부!$L$5:$L$105,B19)</f>
        <v>2</v>
      </c>
      <c r="E19" s="3" t="n">
        <f aca="false">COUNTIFS(인원명부!$L$5:$L$105,B19,인원명부!$J$5:$J$105,"임원")</f>
        <v>2</v>
      </c>
      <c r="F19" s="3" t="n">
        <f aca="false">COUNTIFS(인원명부!$L$5:$L$105,B19,인원명부!$J$5:$J$105,"부장 이하")</f>
        <v>0</v>
      </c>
      <c r="G19" s="4" t="s">
        <v>376</v>
      </c>
    </row>
    <row r="20" customFormat="false" ht="15" hidden="false" customHeight="false" outlineLevel="0" collapsed="false">
      <c r="A20" s="3" t="n">
        <f aca="false">RANK(D20,$D$5:$D$49)</f>
        <v>14</v>
      </c>
      <c r="B20" s="13" t="s">
        <v>126</v>
      </c>
      <c r="C20" s="13" t="s">
        <v>71</v>
      </c>
      <c r="D20" s="3" t="n">
        <f aca="false">COUNTIF(인원명부!$L$5:$L$105,B20)</f>
        <v>2</v>
      </c>
      <c r="E20" s="3" t="n">
        <f aca="false">COUNTIFS(인원명부!$L$5:$L$105,B20,인원명부!$J$5:$J$105,"임원")</f>
        <v>1</v>
      </c>
      <c r="F20" s="3" t="n">
        <f aca="false">COUNTIFS(인원명부!$L$5:$L$105,B20,인원명부!$J$5:$J$105,"부장 이하")</f>
        <v>1</v>
      </c>
      <c r="G20" s="18" t="s">
        <v>377</v>
      </c>
    </row>
    <row r="21" customFormat="false" ht="15" hidden="false" customHeight="false" outlineLevel="0" collapsed="false">
      <c r="A21" s="3" t="n">
        <f aca="false">RANK(D21,$D$5:$D$49)</f>
        <v>14</v>
      </c>
      <c r="B21" s="13" t="s">
        <v>225</v>
      </c>
      <c r="C21" s="13" t="s">
        <v>71</v>
      </c>
      <c r="D21" s="3" t="n">
        <f aca="false">COUNTIF(인원명부!$L$5:$L$105,B21)</f>
        <v>2</v>
      </c>
      <c r="E21" s="3" t="n">
        <f aca="false">COUNTIFS(인원명부!$L$5:$L$105,B21,인원명부!$J$5:$J$105,"임원")</f>
        <v>0</v>
      </c>
      <c r="F21" s="3" t="n">
        <f aca="false">COUNTIFS(인원명부!$L$5:$L$105,B21,인원명부!$J$5:$J$105,"부장 이하")</f>
        <v>2</v>
      </c>
      <c r="G21" s="4" t="s">
        <v>378</v>
      </c>
    </row>
    <row r="22" customFormat="false" ht="15" hidden="false" customHeight="false" outlineLevel="0" collapsed="false">
      <c r="A22" s="3" t="n">
        <f aca="false">RANK(D22,$D$5:$D$49)</f>
        <v>14</v>
      </c>
      <c r="B22" s="13" t="s">
        <v>128</v>
      </c>
      <c r="C22" s="13" t="s">
        <v>71</v>
      </c>
      <c r="D22" s="3" t="n">
        <f aca="false">COUNTIF(인원명부!$L$5:$L$105,B22)</f>
        <v>2</v>
      </c>
      <c r="E22" s="3" t="n">
        <f aca="false">COUNTIFS(인원명부!$L$5:$L$105,B22,인원명부!$J$5:$J$105,"임원")</f>
        <v>2</v>
      </c>
      <c r="F22" s="3" t="n">
        <f aca="false">COUNTIFS(인원명부!$L$5:$L$105,B22,인원명부!$J$5:$J$105,"부장 이하")</f>
        <v>0</v>
      </c>
      <c r="G22" s="4" t="s">
        <v>379</v>
      </c>
    </row>
    <row r="23" customFormat="false" ht="15" hidden="false" customHeight="false" outlineLevel="0" collapsed="false">
      <c r="A23" s="3" t="n">
        <f aca="false">RANK(D23,$D$5:$D$49)</f>
        <v>14</v>
      </c>
      <c r="B23" s="13" t="s">
        <v>196</v>
      </c>
      <c r="C23" s="13" t="s">
        <v>101</v>
      </c>
      <c r="D23" s="3" t="n">
        <f aca="false">COUNTIF(인원명부!$L$5:$L$105,B23)</f>
        <v>2</v>
      </c>
      <c r="E23" s="3" t="n">
        <f aca="false">COUNTIFS(인원명부!$L$5:$L$105,B23,인원명부!$J$5:$J$105,"임원")</f>
        <v>0</v>
      </c>
      <c r="F23" s="3" t="n">
        <f aca="false">COUNTIFS(인원명부!$L$5:$L$105,B23,인원명부!$J$5:$J$105,"부장 이하")</f>
        <v>2</v>
      </c>
      <c r="G23" s="4" t="s">
        <v>380</v>
      </c>
    </row>
    <row r="24" customFormat="false" ht="15" hidden="false" customHeight="false" outlineLevel="0" collapsed="false">
      <c r="A24" s="3" t="n">
        <f aca="false">RANK(D24,$D$5:$D$49)</f>
        <v>14</v>
      </c>
      <c r="B24" s="13" t="s">
        <v>100</v>
      </c>
      <c r="C24" s="13" t="s">
        <v>101</v>
      </c>
      <c r="D24" s="3" t="n">
        <f aca="false">COUNTIF(인원명부!$L$5:$L$105,B24)</f>
        <v>2</v>
      </c>
      <c r="E24" s="3" t="n">
        <f aca="false">COUNTIFS(인원명부!$L$5:$L$105,B24,인원명부!$J$5:$J$105,"임원")</f>
        <v>2</v>
      </c>
      <c r="F24" s="3" t="n">
        <f aca="false">COUNTIFS(인원명부!$L$5:$L$105,B24,인원명부!$J$5:$J$105,"부장 이하")</f>
        <v>0</v>
      </c>
      <c r="G24" s="4" t="s">
        <v>381</v>
      </c>
    </row>
    <row r="25" customFormat="false" ht="15" hidden="false" customHeight="false" outlineLevel="0" collapsed="false">
      <c r="A25" s="3" t="n">
        <f aca="false">RANK(D25,$D$5:$D$49)</f>
        <v>14</v>
      </c>
      <c r="B25" s="13" t="s">
        <v>260</v>
      </c>
      <c r="C25" s="13" t="s">
        <v>101</v>
      </c>
      <c r="D25" s="3" t="n">
        <f aca="false">COUNTIF(인원명부!$L$5:$L$105,B25)</f>
        <v>2</v>
      </c>
      <c r="E25" s="3" t="n">
        <f aca="false">COUNTIFS(인원명부!$L$5:$L$105,B25,인원명부!$J$5:$J$105,"임원")</f>
        <v>0</v>
      </c>
      <c r="F25" s="3" t="n">
        <f aca="false">COUNTIFS(인원명부!$L$5:$L$105,B25,인원명부!$J$5:$J$105,"부장 이하")</f>
        <v>2</v>
      </c>
      <c r="G25" s="4" t="s">
        <v>382</v>
      </c>
    </row>
    <row r="26" customFormat="false" ht="15" hidden="false" customHeight="false" outlineLevel="0" collapsed="false">
      <c r="A26" s="3" t="n">
        <f aca="false">RANK(D26,$D$5:$D$49)</f>
        <v>14</v>
      </c>
      <c r="B26" s="13" t="s">
        <v>205</v>
      </c>
      <c r="C26" s="13" t="s">
        <v>101</v>
      </c>
      <c r="D26" s="3" t="n">
        <f aca="false">COUNTIF(인원명부!$L$5:$L$105,B26)</f>
        <v>2</v>
      </c>
      <c r="E26" s="3" t="n">
        <f aca="false">COUNTIFS(인원명부!$L$5:$L$105,B26,인원명부!$J$5:$J$105,"임원")</f>
        <v>0</v>
      </c>
      <c r="F26" s="3" t="n">
        <f aca="false">COUNTIFS(인원명부!$L$5:$L$105,B26,인원명부!$J$5:$J$105,"부장 이하")</f>
        <v>2</v>
      </c>
      <c r="G26" s="18" t="s">
        <v>383</v>
      </c>
    </row>
    <row r="27" customFormat="false" ht="15" hidden="false" customHeight="false" outlineLevel="0" collapsed="false">
      <c r="A27" s="3" t="n">
        <f aca="false">RANK(D27,$D$5:$D$49)</f>
        <v>14</v>
      </c>
      <c r="B27" s="13" t="s">
        <v>113</v>
      </c>
      <c r="C27" s="13" t="s">
        <v>66</v>
      </c>
      <c r="D27" s="3" t="n">
        <f aca="false">COUNTIF(인원명부!$L$5:$L$105,B27)</f>
        <v>2</v>
      </c>
      <c r="E27" s="3" t="n">
        <f aca="false">COUNTIFS(인원명부!$L$5:$L$105,B27,인원명부!$J$5:$J$105,"임원")</f>
        <v>1</v>
      </c>
      <c r="F27" s="3" t="n">
        <f aca="false">COUNTIFS(인원명부!$L$5:$L$105,B27,인원명부!$J$5:$J$105,"부장 이하")</f>
        <v>1</v>
      </c>
      <c r="G27" s="4" t="s">
        <v>384</v>
      </c>
    </row>
    <row r="28" customFormat="false" ht="15" hidden="false" customHeight="false" outlineLevel="0" collapsed="false">
      <c r="A28" s="3" t="n">
        <f aca="false">RANK(D28,$D$5:$D$49)</f>
        <v>14</v>
      </c>
      <c r="B28" s="13" t="s">
        <v>65</v>
      </c>
      <c r="C28" s="13" t="s">
        <v>66</v>
      </c>
      <c r="D28" s="3" t="n">
        <f aca="false">COUNTIF(인원명부!$L$5:$L$105,B28)</f>
        <v>2</v>
      </c>
      <c r="E28" s="3" t="n">
        <f aca="false">COUNTIFS(인원명부!$L$5:$L$105,B28,인원명부!$J$5:$J$105,"임원")</f>
        <v>2</v>
      </c>
      <c r="F28" s="3" t="n">
        <f aca="false">COUNTIFS(인원명부!$L$5:$L$105,B28,인원명부!$J$5:$J$105,"부장 이하")</f>
        <v>0</v>
      </c>
      <c r="G28" s="18" t="s">
        <v>385</v>
      </c>
    </row>
    <row r="29" customFormat="false" ht="15" hidden="false" customHeight="false" outlineLevel="0" collapsed="false">
      <c r="A29" s="3" t="n">
        <f aca="false">RANK(D29,$D$5:$D$49)</f>
        <v>14</v>
      </c>
      <c r="B29" s="13" t="s">
        <v>223</v>
      </c>
      <c r="C29" s="13" t="s">
        <v>147</v>
      </c>
      <c r="D29" s="3" t="n">
        <f aca="false">COUNTIF(인원명부!$L$5:$L$105,B29)</f>
        <v>2</v>
      </c>
      <c r="E29" s="3" t="n">
        <f aca="false">COUNTIFS(인원명부!$L$5:$L$105,B29,인원명부!$J$5:$J$105,"임원")</f>
        <v>0</v>
      </c>
      <c r="F29" s="3" t="n">
        <f aca="false">COUNTIFS(인원명부!$L$5:$L$105,B29,인원명부!$J$5:$J$105,"부장 이하")</f>
        <v>2</v>
      </c>
      <c r="G29" s="18" t="s">
        <v>386</v>
      </c>
    </row>
    <row r="30" customFormat="false" ht="15" hidden="false" customHeight="false" outlineLevel="0" collapsed="false">
      <c r="A30" s="3" t="n">
        <f aca="false">RANK(D30,$D$5:$D$49)</f>
        <v>14</v>
      </c>
      <c r="B30" s="13" t="s">
        <v>145</v>
      </c>
      <c r="C30" s="13" t="s">
        <v>147</v>
      </c>
      <c r="D30" s="3" t="n">
        <f aca="false">COUNTIF(인원명부!$L$5:$L$105,B30)</f>
        <v>2</v>
      </c>
      <c r="E30" s="3" t="n">
        <f aca="false">COUNTIFS(인원명부!$L$5:$L$105,B30,인원명부!$J$5:$J$105,"임원")</f>
        <v>0</v>
      </c>
      <c r="F30" s="3" t="n">
        <f aca="false">COUNTIFS(인원명부!$L$5:$L$105,B30,인원명부!$J$5:$J$105,"부장 이하")</f>
        <v>2</v>
      </c>
      <c r="G30" s="4" t="s">
        <v>387</v>
      </c>
    </row>
    <row r="31" customFormat="false" ht="15" hidden="false" customHeight="false" outlineLevel="0" collapsed="false">
      <c r="A31" s="3" t="n">
        <f aca="false">RANK(D31,$D$5:$D$49)</f>
        <v>27</v>
      </c>
      <c r="B31" s="13" t="s">
        <v>269</v>
      </c>
      <c r="C31" s="3"/>
      <c r="D31" s="3" t="n">
        <f aca="false">COUNTIF(인원명부!$L$5:$L$105,B31)</f>
        <v>1</v>
      </c>
      <c r="E31" s="3" t="n">
        <f aca="false">COUNTIFS(인원명부!$L$5:$L$105,B31,인원명부!$J$5:$J$105,"임원")</f>
        <v>0</v>
      </c>
      <c r="F31" s="3" t="n">
        <f aca="false">COUNTIFS(인원명부!$L$5:$L$105,B31,인원명부!$J$5:$J$105,"부장 이하")</f>
        <v>1</v>
      </c>
      <c r="G31" s="4" t="s">
        <v>388</v>
      </c>
    </row>
    <row r="32" customFormat="false" ht="15" hidden="false" customHeight="false" outlineLevel="0" collapsed="false">
      <c r="A32" s="3" t="n">
        <f aca="false">RANK(D32,$D$5:$D$49)</f>
        <v>27</v>
      </c>
      <c r="B32" s="13" t="s">
        <v>118</v>
      </c>
      <c r="C32" s="3"/>
      <c r="D32" s="3" t="n">
        <f aca="false">COUNTIF(인원명부!$L$5:$L$105,B32)</f>
        <v>1</v>
      </c>
      <c r="E32" s="3" t="n">
        <f aca="false">COUNTIFS(인원명부!$L$5:$L$105,B32,인원명부!$J$5:$J$105,"임원")</f>
        <v>1</v>
      </c>
      <c r="F32" s="3" t="n">
        <f aca="false">COUNTIFS(인원명부!$L$5:$L$105,B32,인원명부!$J$5:$J$105,"부장 이하")</f>
        <v>0</v>
      </c>
      <c r="G32" s="4" t="s">
        <v>389</v>
      </c>
    </row>
    <row r="33" customFormat="false" ht="15" hidden="false" customHeight="false" outlineLevel="0" collapsed="false">
      <c r="A33" s="3" t="n">
        <f aca="false">RANK(D33,$D$5:$D$49)</f>
        <v>27</v>
      </c>
      <c r="B33" s="13" t="s">
        <v>163</v>
      </c>
      <c r="C33" s="3"/>
      <c r="D33" s="3" t="n">
        <f aca="false">COUNTIF(인원명부!$L$5:$L$105,B33)</f>
        <v>1</v>
      </c>
      <c r="E33" s="3" t="n">
        <f aca="false">COUNTIFS(인원명부!$L$5:$L$105,B33,인원명부!$J$5:$J$105,"임원")</f>
        <v>0</v>
      </c>
      <c r="F33" s="3" t="n">
        <f aca="false">COUNTIFS(인원명부!$L$5:$L$105,B33,인원명부!$J$5:$J$105,"부장 이하")</f>
        <v>1</v>
      </c>
      <c r="G33" s="18" t="s">
        <v>390</v>
      </c>
    </row>
    <row r="34" customFormat="false" ht="15" hidden="false" customHeight="false" outlineLevel="0" collapsed="false">
      <c r="A34" s="3" t="n">
        <f aca="false">RANK(D34,$D$5:$D$49)</f>
        <v>27</v>
      </c>
      <c r="B34" s="13" t="s">
        <v>210</v>
      </c>
      <c r="C34" s="3"/>
      <c r="D34" s="3" t="n">
        <f aca="false">COUNTIF(인원명부!$L$5:$L$105,B34)</f>
        <v>1</v>
      </c>
      <c r="E34" s="3" t="n">
        <f aca="false">COUNTIFS(인원명부!$L$5:$L$105,B34,인원명부!$J$5:$J$105,"임원")</f>
        <v>0</v>
      </c>
      <c r="F34" s="3" t="n">
        <f aca="false">COUNTIFS(인원명부!$L$5:$L$105,B34,인원명부!$J$5:$J$105,"부장 이하")</f>
        <v>0</v>
      </c>
      <c r="G34" s="4" t="s">
        <v>391</v>
      </c>
    </row>
    <row r="35" customFormat="false" ht="15" hidden="false" customHeight="false" outlineLevel="0" collapsed="false">
      <c r="A35" s="3" t="n">
        <f aca="false">RANK(D35,$D$5:$D$49)</f>
        <v>27</v>
      </c>
      <c r="B35" s="13" t="s">
        <v>178</v>
      </c>
      <c r="C35" s="3"/>
      <c r="D35" s="3" t="n">
        <f aca="false">COUNTIF(인원명부!$L$5:$L$105,B35)</f>
        <v>1</v>
      </c>
      <c r="E35" s="3" t="n">
        <f aca="false">COUNTIFS(인원명부!$L$5:$L$105,B35,인원명부!$J$5:$J$105,"임원")</f>
        <v>1</v>
      </c>
      <c r="F35" s="3" t="n">
        <f aca="false">COUNTIFS(인원명부!$L$5:$L$105,B35,인원명부!$J$5:$J$105,"부장 이하")</f>
        <v>0</v>
      </c>
      <c r="G35" s="4" t="s">
        <v>392</v>
      </c>
    </row>
    <row r="36" customFormat="false" ht="15" hidden="false" customHeight="false" outlineLevel="0" collapsed="false">
      <c r="A36" s="3" t="n">
        <f aca="false">RANK(D36,$D$5:$D$49)</f>
        <v>27</v>
      </c>
      <c r="B36" s="13" t="s">
        <v>192</v>
      </c>
      <c r="C36" s="3"/>
      <c r="D36" s="3" t="n">
        <f aca="false">COUNTIF(인원명부!$L$5:$L$105,B36)</f>
        <v>1</v>
      </c>
      <c r="E36" s="3" t="n">
        <f aca="false">COUNTIFS(인원명부!$L$5:$L$105,B36,인원명부!$J$5:$J$105,"임원")</f>
        <v>0</v>
      </c>
      <c r="F36" s="3" t="n">
        <f aca="false">COUNTIFS(인원명부!$L$5:$L$105,B36,인원명부!$J$5:$J$105,"부장 이하")</f>
        <v>1</v>
      </c>
      <c r="G36" s="4" t="s">
        <v>393</v>
      </c>
    </row>
    <row r="37" customFormat="false" ht="15" hidden="false" customHeight="false" outlineLevel="0" collapsed="false">
      <c r="A37" s="3" t="n">
        <f aca="false">RANK(D37,$D$5:$D$49)</f>
        <v>27</v>
      </c>
      <c r="B37" s="13" t="s">
        <v>216</v>
      </c>
      <c r="C37" s="3"/>
      <c r="D37" s="3" t="n">
        <f aca="false">COUNTIF(인원명부!$L$5:$L$105,B37)</f>
        <v>1</v>
      </c>
      <c r="E37" s="3" t="n">
        <f aca="false">COUNTIFS(인원명부!$L$5:$L$105,B37,인원명부!$J$5:$J$105,"임원")</f>
        <v>0</v>
      </c>
      <c r="F37" s="3" t="n">
        <f aca="false">COUNTIFS(인원명부!$L$5:$L$105,B37,인원명부!$J$5:$J$105,"부장 이하")</f>
        <v>1</v>
      </c>
      <c r="G37" s="18" t="s">
        <v>394</v>
      </c>
    </row>
    <row r="38" customFormat="false" ht="15" hidden="false" customHeight="false" outlineLevel="0" collapsed="false">
      <c r="A38" s="3" t="n">
        <f aca="false">RANK(D38,$D$5:$D$49)</f>
        <v>27</v>
      </c>
      <c r="B38" s="13" t="s">
        <v>250</v>
      </c>
      <c r="C38" s="3"/>
      <c r="D38" s="3" t="n">
        <f aca="false">COUNTIF(인원명부!$L$5:$L$105,B38)</f>
        <v>1</v>
      </c>
      <c r="E38" s="3" t="n">
        <f aca="false">COUNTIFS(인원명부!$L$5:$L$105,B38,인원명부!$J$5:$J$105,"임원")</f>
        <v>0</v>
      </c>
      <c r="F38" s="3" t="n">
        <f aca="false">COUNTIFS(인원명부!$L$5:$L$105,B38,인원명부!$J$5:$J$105,"부장 이하")</f>
        <v>1</v>
      </c>
      <c r="G38" s="4" t="s">
        <v>395</v>
      </c>
    </row>
    <row r="39" customFormat="false" ht="15" hidden="false" customHeight="false" outlineLevel="0" collapsed="false">
      <c r="A39" s="3" t="n">
        <f aca="false">RANK(D39,$D$5:$D$49)</f>
        <v>27</v>
      </c>
      <c r="B39" s="13" t="s">
        <v>257</v>
      </c>
      <c r="C39" s="3"/>
      <c r="D39" s="3" t="n">
        <f aca="false">COUNTIF(인원명부!$L$5:$L$105,B39)</f>
        <v>1</v>
      </c>
      <c r="E39" s="3" t="n">
        <f aca="false">COUNTIFS(인원명부!$L$5:$L$105,B39,인원명부!$J$5:$J$105,"임원")</f>
        <v>0</v>
      </c>
      <c r="F39" s="3" t="n">
        <f aca="false">COUNTIFS(인원명부!$L$5:$L$105,B39,인원명부!$J$5:$J$105,"부장 이하")</f>
        <v>1</v>
      </c>
      <c r="G39" s="4" t="s">
        <v>396</v>
      </c>
    </row>
    <row r="40" customFormat="false" ht="15" hidden="false" customHeight="false" outlineLevel="0" collapsed="false">
      <c r="A40" s="3" t="n">
        <f aca="false">RANK(D40,$D$5:$D$49)</f>
        <v>27</v>
      </c>
      <c r="B40" s="13" t="s">
        <v>186</v>
      </c>
      <c r="C40" s="3"/>
      <c r="D40" s="3" t="n">
        <f aca="false">COUNTIF(인원명부!$L$5:$L$105,B40)</f>
        <v>1</v>
      </c>
      <c r="E40" s="3" t="n">
        <f aca="false">COUNTIFS(인원명부!$L$5:$L$105,B40,인원명부!$J$5:$J$105,"임원")</f>
        <v>0</v>
      </c>
      <c r="F40" s="3" t="n">
        <f aca="false">COUNTIFS(인원명부!$L$5:$L$105,B40,인원명부!$J$5:$J$105,"부장 이하")</f>
        <v>1</v>
      </c>
      <c r="G40" s="4" t="s">
        <v>397</v>
      </c>
    </row>
    <row r="41" customFormat="false" ht="15" hidden="false" customHeight="false" outlineLevel="0" collapsed="false">
      <c r="A41" s="3" t="n">
        <f aca="false">RANK(D41,$D$5:$D$49)</f>
        <v>27</v>
      </c>
      <c r="B41" s="13" t="s">
        <v>137</v>
      </c>
      <c r="C41" s="3"/>
      <c r="D41" s="3" t="n">
        <f aca="false">COUNTIF(인원명부!$L$5:$L$105,B41)</f>
        <v>1</v>
      </c>
      <c r="E41" s="3" t="n">
        <f aca="false">COUNTIFS(인원명부!$L$5:$L$105,B41,인원명부!$J$5:$J$105,"임원")</f>
        <v>1</v>
      </c>
      <c r="F41" s="3" t="n">
        <f aca="false">COUNTIFS(인원명부!$L$5:$L$105,B41,인원명부!$J$5:$J$105,"부장 이하")</f>
        <v>0</v>
      </c>
      <c r="G41" s="4" t="s">
        <v>398</v>
      </c>
    </row>
    <row r="42" customFormat="false" ht="15" hidden="false" customHeight="false" outlineLevel="0" collapsed="false">
      <c r="A42" s="3" t="n">
        <f aca="false">RANK(D42,$D$5:$D$49)</f>
        <v>27</v>
      </c>
      <c r="B42" s="13" t="s">
        <v>248</v>
      </c>
      <c r="C42" s="3"/>
      <c r="D42" s="3" t="n">
        <f aca="false">COUNTIF(인원명부!$L$5:$L$105,B42)</f>
        <v>1</v>
      </c>
      <c r="E42" s="3" t="n">
        <f aca="false">COUNTIFS(인원명부!$L$5:$L$105,B42,인원명부!$J$5:$J$105,"임원")</f>
        <v>0</v>
      </c>
      <c r="F42" s="3" t="n">
        <f aca="false">COUNTIFS(인원명부!$L$5:$L$105,B42,인원명부!$J$5:$J$105,"부장 이하")</f>
        <v>1</v>
      </c>
      <c r="G42" s="4" t="s">
        <v>399</v>
      </c>
    </row>
    <row r="43" customFormat="false" ht="15" hidden="false" customHeight="false" outlineLevel="0" collapsed="false">
      <c r="A43" s="3" t="n">
        <f aca="false">RANK(D43,$D$5:$D$49)</f>
        <v>27</v>
      </c>
      <c r="B43" s="13" t="s">
        <v>194</v>
      </c>
      <c r="C43" s="3"/>
      <c r="D43" s="3" t="n">
        <f aca="false">COUNTIF(인원명부!$L$5:$L$105,B43)</f>
        <v>1</v>
      </c>
      <c r="E43" s="3" t="n">
        <f aca="false">COUNTIFS(인원명부!$L$5:$L$105,B43,인원명부!$J$5:$J$105,"임원")</f>
        <v>0</v>
      </c>
      <c r="F43" s="3" t="n">
        <f aca="false">COUNTIFS(인원명부!$L$5:$L$105,B43,인원명부!$J$5:$J$105,"부장 이하")</f>
        <v>1</v>
      </c>
      <c r="G43" s="4" t="s">
        <v>400</v>
      </c>
    </row>
    <row r="44" customFormat="false" ht="15" hidden="false" customHeight="false" outlineLevel="0" collapsed="false">
      <c r="A44" s="3" t="n">
        <f aca="false">RANK(D44,$D$5:$D$49)</f>
        <v>27</v>
      </c>
      <c r="B44" s="13" t="s">
        <v>59</v>
      </c>
      <c r="C44" s="3"/>
      <c r="D44" s="3" t="n">
        <f aca="false">COUNTIF(인원명부!$L$5:$L$105,B44)</f>
        <v>1</v>
      </c>
      <c r="E44" s="3" t="n">
        <f aca="false">COUNTIFS(인원명부!$L$5:$L$105,B44,인원명부!$J$5:$J$105,"임원")</f>
        <v>1</v>
      </c>
      <c r="F44" s="3" t="n">
        <f aca="false">COUNTIFS(인원명부!$L$5:$L$105,B44,인원명부!$J$5:$J$105,"부장 이하")</f>
        <v>0</v>
      </c>
      <c r="G44" s="4" t="s">
        <v>401</v>
      </c>
    </row>
    <row r="45" customFormat="false" ht="15" hidden="false" customHeight="false" outlineLevel="0" collapsed="false">
      <c r="A45" s="3" t="n">
        <f aca="false">RANK(D45,$D$5:$D$49)</f>
        <v>27</v>
      </c>
      <c r="B45" s="13" t="s">
        <v>173</v>
      </c>
      <c r="C45" s="3"/>
      <c r="D45" s="3" t="n">
        <f aca="false">COUNTIF(인원명부!$L$5:$L$105,B45)</f>
        <v>1</v>
      </c>
      <c r="E45" s="3" t="n">
        <f aca="false">COUNTIFS(인원명부!$L$5:$L$105,B45,인원명부!$J$5:$J$105,"임원")</f>
        <v>0</v>
      </c>
      <c r="F45" s="3" t="n">
        <f aca="false">COUNTIFS(인원명부!$L$5:$L$105,B45,인원명부!$J$5:$J$105,"부장 이하")</f>
        <v>1</v>
      </c>
      <c r="G45" s="4" t="s">
        <v>402</v>
      </c>
    </row>
    <row r="46" customFormat="false" ht="15" hidden="false" customHeight="false" outlineLevel="0" collapsed="false">
      <c r="A46" s="3" t="n">
        <f aca="false">RANK(D46,$D$5:$D$49)</f>
        <v>27</v>
      </c>
      <c r="B46" s="13" t="s">
        <v>95</v>
      </c>
      <c r="C46" s="3"/>
      <c r="D46" s="3" t="n">
        <f aca="false">COUNTIF(인원명부!$L$5:$L$105,B46)</f>
        <v>1</v>
      </c>
      <c r="E46" s="3" t="n">
        <f aca="false">COUNTIFS(인원명부!$L$5:$L$105,B46,인원명부!$J$5:$J$105,"임원")</f>
        <v>1</v>
      </c>
      <c r="F46" s="3" t="n">
        <f aca="false">COUNTIFS(인원명부!$L$5:$L$105,B46,인원명부!$J$5:$J$105,"부장 이하")</f>
        <v>0</v>
      </c>
      <c r="G46" s="4" t="s">
        <v>403</v>
      </c>
    </row>
    <row r="47" customFormat="false" ht="15" hidden="false" customHeight="false" outlineLevel="0" collapsed="false">
      <c r="A47" s="3" t="n">
        <f aca="false">RANK(D47,$D$5:$D$49)</f>
        <v>27</v>
      </c>
      <c r="B47" s="13" t="s">
        <v>220</v>
      </c>
      <c r="C47" s="3"/>
      <c r="D47" s="3" t="n">
        <f aca="false">COUNTIF(인원명부!$L$5:$L$105,B47)</f>
        <v>1</v>
      </c>
      <c r="E47" s="3" t="n">
        <f aca="false">COUNTIFS(인원명부!$L$5:$L$105,B47,인원명부!$J$5:$J$105,"임원")</f>
        <v>0</v>
      </c>
      <c r="F47" s="3" t="n">
        <f aca="false">COUNTIFS(인원명부!$L$5:$L$105,B47,인원명부!$J$5:$J$105,"부장 이하")</f>
        <v>1</v>
      </c>
      <c r="G47" s="4" t="s">
        <v>404</v>
      </c>
    </row>
    <row r="48" customFormat="false" ht="15" hidden="false" customHeight="false" outlineLevel="0" collapsed="false">
      <c r="A48" s="3" t="n">
        <f aca="false">RANK(D48,$D$5:$D$49)</f>
        <v>27</v>
      </c>
      <c r="B48" s="13" t="s">
        <v>236</v>
      </c>
      <c r="C48" s="3"/>
      <c r="D48" s="3" t="n">
        <f aca="false">COUNTIF(인원명부!$L$5:$L$105,B48)</f>
        <v>1</v>
      </c>
      <c r="E48" s="3" t="n">
        <f aca="false">COUNTIFS(인원명부!$L$5:$L$105,B48,인원명부!$J$5:$J$105,"임원")</f>
        <v>0</v>
      </c>
      <c r="F48" s="3" t="n">
        <f aca="false">COUNTIFS(인원명부!$L$5:$L$105,B48,인원명부!$J$5:$J$105,"부장 이하")</f>
        <v>1</v>
      </c>
      <c r="G48" s="4" t="s">
        <v>405</v>
      </c>
    </row>
    <row r="49" customFormat="false" ht="15" hidden="false" customHeight="false" outlineLevel="0" collapsed="false">
      <c r="A49" s="3" t="n">
        <f aca="false">RANK(D49,$D$5:$D$49)</f>
        <v>27</v>
      </c>
      <c r="B49" s="13" t="s">
        <v>202</v>
      </c>
      <c r="C49" s="3"/>
      <c r="D49" s="3" t="n">
        <f aca="false">COUNTIF(인원명부!$L$5:$L$105,B49)</f>
        <v>1</v>
      </c>
      <c r="E49" s="3" t="n">
        <f aca="false">COUNTIFS(인원명부!$L$5:$L$105,B49,인원명부!$J$5:$J$105,"임원")</f>
        <v>0</v>
      </c>
      <c r="F49" s="3" t="n">
        <f aca="false">COUNTIFS(인원명부!$L$5:$L$105,B49,인원명부!$J$5:$J$105,"부장 이하")</f>
        <v>1</v>
      </c>
      <c r="G49" s="4" t="s">
        <v>406</v>
      </c>
    </row>
    <row r="50" customFormat="false" ht="15" hidden="false" customHeight="false" outlineLevel="0" collapsed="false">
      <c r="A50" s="3"/>
      <c r="B50" s="19" t="s">
        <v>320</v>
      </c>
      <c r="C50" s="3"/>
      <c r="D50" s="19" t="n">
        <f aca="false">SUM(D5:D49)</f>
        <v>100</v>
      </c>
      <c r="E50" s="19" t="n">
        <f aca="false">SUM(E5:E49)</f>
        <v>33</v>
      </c>
      <c r="F50" s="19" t="n">
        <f aca="false">SUM(F5:F49)</f>
        <v>65</v>
      </c>
      <c r="G50" s="18"/>
    </row>
    <row r="51" customFormat="false" ht="15" hidden="false" customHeight="false" outlineLevel="0" collapsed="false">
      <c r="A51" s="3"/>
      <c r="B51" s="13" t="s">
        <v>407</v>
      </c>
      <c r="C51" s="3"/>
      <c r="D51" s="3" t="n">
        <f aca="false">COUNTIF(인원명부!$L$5:$L$105,"")</f>
        <v>1</v>
      </c>
      <c r="E51" s="3"/>
      <c r="F51" s="3"/>
      <c r="G51" s="4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409</v>
      </c>
    </row>
    <row r="2" customFormat="false" ht="15" hidden="false" customHeight="false" outlineLevel="0" collapsed="false">
      <c r="A2" s="20" t="s">
        <v>410</v>
      </c>
    </row>
    <row r="4" customFormat="false" ht="30" hidden="false" customHeight="true" outlineLevel="0" collapsed="false">
      <c r="A4" s="12" t="s">
        <v>411</v>
      </c>
      <c r="B4" s="12" t="s">
        <v>412</v>
      </c>
      <c r="C4" s="12" t="s">
        <v>413</v>
      </c>
      <c r="D4" s="12" t="s">
        <v>414</v>
      </c>
      <c r="E4" s="12" t="s">
        <v>53</v>
      </c>
    </row>
    <row r="5" customFormat="false" ht="25.35" hidden="false" customHeight="false" outlineLevel="0" collapsed="false">
      <c r="A5" s="3" t="s">
        <v>415</v>
      </c>
      <c r="B5" s="18" t="s">
        <v>416</v>
      </c>
      <c r="C5" s="4" t="s">
        <v>417</v>
      </c>
      <c r="D5" s="3" t="s">
        <v>418</v>
      </c>
      <c r="E5" s="4" t="s">
        <v>419</v>
      </c>
    </row>
    <row r="6" customFormat="false" ht="15" hidden="false" customHeight="false" outlineLevel="0" collapsed="false">
      <c r="A6" s="3" t="s">
        <v>420</v>
      </c>
      <c r="B6" s="18" t="s">
        <v>421</v>
      </c>
      <c r="C6" s="4" t="s">
        <v>422</v>
      </c>
      <c r="D6" s="3" t="s">
        <v>423</v>
      </c>
      <c r="E6" s="4" t="s">
        <v>424</v>
      </c>
    </row>
    <row r="7" customFormat="false" ht="15" hidden="false" customHeight="false" outlineLevel="0" collapsed="false">
      <c r="A7" s="3" t="s">
        <v>425</v>
      </c>
      <c r="B7" s="18" t="s">
        <v>426</v>
      </c>
      <c r="C7" s="4" t="s">
        <v>427</v>
      </c>
      <c r="D7" s="3" t="s">
        <v>428</v>
      </c>
      <c r="E7" s="4" t="s">
        <v>429</v>
      </c>
    </row>
    <row r="8" customFormat="false" ht="26.85" hidden="false" customHeight="false" outlineLevel="0" collapsed="false">
      <c r="A8" s="3" t="s">
        <v>430</v>
      </c>
      <c r="B8" s="18" t="s">
        <v>431</v>
      </c>
      <c r="C8" s="4" t="s">
        <v>432</v>
      </c>
      <c r="D8" s="3" t="s">
        <v>433</v>
      </c>
      <c r="E8" s="18" t="s">
        <v>434</v>
      </c>
    </row>
    <row r="10" customFormat="false" ht="15" hidden="false" customHeight="false" outlineLevel="0" collapsed="false">
      <c r="A10" s="21" t="s">
        <v>435</v>
      </c>
    </row>
    <row r="11" customFormat="false" ht="30" hidden="false" customHeight="true" outlineLevel="0" collapsed="false">
      <c r="A11" s="22" t="s">
        <v>436</v>
      </c>
      <c r="B11" s="12" t="s">
        <v>437</v>
      </c>
      <c r="C11" s="12" t="s">
        <v>438</v>
      </c>
      <c r="D11" s="12" t="s">
        <v>439</v>
      </c>
      <c r="E11" s="12" t="s">
        <v>440</v>
      </c>
    </row>
    <row r="12" customFormat="false" ht="26.85" hidden="false" customHeight="false" outlineLevel="0" collapsed="false">
      <c r="A12" s="3" t="s">
        <v>441</v>
      </c>
      <c r="B12" s="4" t="s">
        <v>442</v>
      </c>
      <c r="C12" s="4" t="s">
        <v>443</v>
      </c>
      <c r="D12" s="4" t="s">
        <v>444</v>
      </c>
      <c r="E12" s="4" t="s">
        <v>445</v>
      </c>
    </row>
    <row r="13" customFormat="false" ht="15" hidden="false" customHeight="false" outlineLevel="0" collapsed="false">
      <c r="A13" s="3" t="s">
        <v>446</v>
      </c>
      <c r="B13" s="4" t="s">
        <v>447</v>
      </c>
      <c r="C13" s="4" t="s">
        <v>448</v>
      </c>
      <c r="D13" s="4" t="s">
        <v>449</v>
      </c>
      <c r="E13" s="4" t="s">
        <v>450</v>
      </c>
    </row>
    <row r="14" customFormat="false" ht="15" hidden="false" customHeight="false" outlineLevel="0" collapsed="false">
      <c r="A14" s="3" t="s">
        <v>451</v>
      </c>
      <c r="B14" s="4" t="s">
        <v>452</v>
      </c>
      <c r="C14" s="4" t="s">
        <v>46</v>
      </c>
      <c r="D14" s="4" t="s">
        <v>453</v>
      </c>
      <c r="E14" s="4" t="s">
        <v>454</v>
      </c>
    </row>
    <row r="15" customFormat="false" ht="15" hidden="false" customHeight="false" outlineLevel="0" collapsed="false">
      <c r="A15" s="3" t="s">
        <v>455</v>
      </c>
      <c r="B15" s="4" t="s">
        <v>456</v>
      </c>
      <c r="C15" s="4" t="s">
        <v>39</v>
      </c>
      <c r="D15" s="4" t="s">
        <v>457</v>
      </c>
      <c r="E15" s="18" t="s">
        <v>458</v>
      </c>
    </row>
    <row r="16" customFormat="false" ht="25.35" hidden="false" customHeight="false" outlineLevel="0" collapsed="false">
      <c r="A16" s="3" t="s">
        <v>459</v>
      </c>
      <c r="B16" s="4" t="s">
        <v>460</v>
      </c>
      <c r="C16" s="4" t="s">
        <v>39</v>
      </c>
      <c r="D16" s="18" t="s">
        <v>461</v>
      </c>
      <c r="E16" s="18" t="s">
        <v>462</v>
      </c>
    </row>
    <row r="17" customFormat="false" ht="15" hidden="false" customHeight="false" outlineLevel="0" collapsed="false">
      <c r="A17" s="3" t="s">
        <v>463</v>
      </c>
      <c r="B17" s="4" t="s">
        <v>464</v>
      </c>
      <c r="C17" s="4" t="s">
        <v>46</v>
      </c>
      <c r="D17" s="4" t="s">
        <v>465</v>
      </c>
      <c r="E17" s="4" t="s">
        <v>466</v>
      </c>
    </row>
    <row r="18" customFormat="false" ht="15" hidden="false" customHeight="false" outlineLevel="0" collapsed="false">
      <c r="A18" s="3" t="s">
        <v>467</v>
      </c>
      <c r="B18" s="4" t="s">
        <v>468</v>
      </c>
      <c r="C18" s="4" t="s">
        <v>448</v>
      </c>
      <c r="D18" s="18" t="s">
        <v>469</v>
      </c>
      <c r="E18" s="4" t="s">
        <v>470</v>
      </c>
    </row>
    <row r="19" customFormat="false" ht="26.85" hidden="false" customHeight="false" outlineLevel="0" collapsed="false">
      <c r="A19" s="3" t="s">
        <v>471</v>
      </c>
      <c r="B19" s="18" t="s">
        <v>472</v>
      </c>
      <c r="C19" s="4" t="s">
        <v>473</v>
      </c>
      <c r="D19" s="4" t="s">
        <v>474</v>
      </c>
      <c r="E19" s="4" t="s">
        <v>475</v>
      </c>
    </row>
    <row r="20" customFormat="false" ht="26.85" hidden="false" customHeight="false" outlineLevel="0" collapsed="false">
      <c r="A20" s="3" t="s">
        <v>476</v>
      </c>
      <c r="B20" s="18" t="s">
        <v>477</v>
      </c>
      <c r="C20" s="4" t="s">
        <v>478</v>
      </c>
      <c r="D20" s="18" t="s">
        <v>479</v>
      </c>
      <c r="E20" s="4" t="s">
        <v>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2026-10-08T07:25:39Z</dcterms:created>
  <dc:creator>openpyxl</dc:creator>
  <dc:description/>
  <dc:language>en-US</dc:language>
  <cp:lastModifiedBy/>
  <dcterms:modified xsi:type="dcterms:W3CDTF">2026-10-08T07:25:39Z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